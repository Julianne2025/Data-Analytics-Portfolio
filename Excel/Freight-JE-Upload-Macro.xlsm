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840" yWindow="315" windowWidth="12390" windowHeight="9165"/>
  </bookViews>
  <sheets>
    <sheet name="JE Form" sheetId="1" r:id="rId1"/>
    <sheet name="Copy of Text Uploaded to JDE" sheetId="3" r:id="rId2"/>
    <sheet name="Source" sheetId="2" r:id="rId3"/>
  </sheets>
  <definedNames>
    <definedName name="Company">Source!$B$8:$B$12</definedName>
    <definedName name="Currency">Source!$B$15:$B$17</definedName>
    <definedName name="DocType">Source!$B$3:$B$4</definedName>
  </definedNames>
  <calcPr calcId="145621"/>
</workbook>
</file>

<file path=xl/calcChain.xml><?xml version="1.0" encoding="utf-8"?>
<calcChain xmlns="http://schemas.openxmlformats.org/spreadsheetml/2006/main">
  <c r="M247" i="1" l="1"/>
  <c r="N247" i="1"/>
  <c r="N257" i="1"/>
  <c r="N254" i="1"/>
</calcChain>
</file>

<file path=xl/comments1.xml><?xml version="1.0" encoding="utf-8"?>
<comments xmlns="http://schemas.openxmlformats.org/spreadsheetml/2006/main">
  <authors>
    <author>Clifford A. Mueller Jr.</author>
  </authors>
  <commentList>
    <comment ref="B2" authorId="0">
      <text>
        <r>
          <rPr>
            <b/>
            <sz val="8"/>
            <color indexed="81"/>
            <rFont val="Tahoma"/>
            <family val="2"/>
          </rPr>
          <t xml:space="preserve">Doc Types
</t>
        </r>
      </text>
    </comment>
    <comment ref="B7" authorId="0">
      <text>
        <r>
          <rPr>
            <b/>
            <sz val="8"/>
            <color indexed="81"/>
            <rFont val="Tahoma"/>
            <family val="2"/>
          </rPr>
          <t>Document Company codes (KCO)</t>
        </r>
      </text>
    </comment>
    <comment ref="B14" authorId="0">
      <text>
        <r>
          <rPr>
            <b/>
            <sz val="8"/>
            <color indexed="81"/>
            <rFont val="Tahoma"/>
            <family val="2"/>
          </rPr>
          <t>Currency codes</t>
        </r>
      </text>
    </comment>
  </commentList>
</comments>
</file>

<file path=xl/sharedStrings.xml><?xml version="1.0" encoding="utf-8"?>
<sst xmlns="http://schemas.openxmlformats.org/spreadsheetml/2006/main" count="282" uniqueCount="275">
  <si>
    <t>Journal Entry Total --&gt;</t>
  </si>
  <si>
    <t>Entered By:</t>
  </si>
  <si>
    <t>USD</t>
  </si>
  <si>
    <t>Currency Code</t>
  </si>
  <si>
    <t>G/L Date</t>
  </si>
  <si>
    <t>Explanation</t>
  </si>
  <si>
    <t>Document Type</t>
  </si>
  <si>
    <t>Sub-Ledger</t>
  </si>
  <si>
    <t>Type</t>
  </si>
  <si>
    <t>Amount</t>
  </si>
  <si>
    <t>Doc. Company</t>
  </si>
  <si>
    <t>Company</t>
  </si>
  <si>
    <t>00100</t>
  </si>
  <si>
    <t>00200</t>
  </si>
  <si>
    <t>00210</t>
  </si>
  <si>
    <t>CAD</t>
  </si>
  <si>
    <t>Currency</t>
  </si>
  <si>
    <t>Transaction Description</t>
  </si>
  <si>
    <t>JE</t>
  </si>
  <si>
    <t>DocType</t>
  </si>
  <si>
    <t>AC</t>
  </si>
  <si>
    <t>Document # / Batch</t>
  </si>
  <si>
    <t>Business Unit</t>
  </si>
  <si>
    <t>Account</t>
  </si>
  <si>
    <t>Batch Desc (ALPHA)</t>
  </si>
  <si>
    <t>Sub</t>
  </si>
  <si>
    <t>Prepared by</t>
  </si>
  <si>
    <t>Date</t>
  </si>
  <si>
    <t>Approved by</t>
  </si>
  <si>
    <t>Units</t>
  </si>
  <si>
    <t>00835</t>
  </si>
  <si>
    <t>00840</t>
  </si>
  <si>
    <t>MXP</t>
  </si>
  <si>
    <t>Julie Lorenzen</t>
  </si>
  <si>
    <t>BASIC</t>
  </si>
  <si>
    <t>DUF</t>
  </si>
  <si>
    <t>370JLGNBTADWK11=031210</t>
  </si>
  <si>
    <t>DC</t>
  </si>
  <si>
    <t>N</t>
  </si>
  <si>
    <t>FREIGHT EXPENSE ACCRUAL    --       J O U R N A L    E N T R Y    F O R M</t>
  </si>
  <si>
    <t>Automated journal entry upload using Excel VBA</t>
  </si>
  <si>
    <t xml:space="preserve">JE00100       N033109110         53023                  370JL                                                                  5805               </t>
  </si>
  <si>
    <t xml:space="preserve">JE00100       N033109344         46111                  370JL                                                                  44.9               </t>
  </si>
  <si>
    <t xml:space="preserve">JE00100       N033109104         46111                  370JL                                                                 20.33               </t>
  </si>
  <si>
    <t xml:space="preserve">JE00100       N033109104801      84121                  370JL                                                                 25.34               </t>
  </si>
  <si>
    <t xml:space="preserve">JE00100       N033109110         23039 387              370JL                                                                  1000               </t>
  </si>
  <si>
    <t xml:space="preserve">JE00100       N033109110         46011                  370JL                                                             225800.38               </t>
  </si>
  <si>
    <t xml:space="preserve">JE00100       N033109110         46111                  370JL                                                              57481.25               </t>
  </si>
  <si>
    <t xml:space="preserve">JE00100       N033109110         46702                  370JL                                                                   700               </t>
  </si>
  <si>
    <t xml:space="preserve">JE00100       N033109110         53023                  370JL                                                              67891.52               </t>
  </si>
  <si>
    <t xml:space="preserve">JE00100       N033109115         23039 8241             370JL                                                                298.08               </t>
  </si>
  <si>
    <t xml:space="preserve">JE00100       N033109138         46111                  370JL                                                                  20.9               </t>
  </si>
  <si>
    <t xml:space="preserve">JE00100       N033109138803      83021                  370JL                                                                 88.85               </t>
  </si>
  <si>
    <t xml:space="preserve">JE00100       N033109143         46111                  370JL                                                                  26.2               </t>
  </si>
  <si>
    <t xml:space="preserve">JE00100       N033109143801      84121                  370JL                                                                 26.55               </t>
  </si>
  <si>
    <t xml:space="preserve">JE00100       N033109143803      83021                  370JL                                                                3443.1               </t>
  </si>
  <si>
    <t xml:space="preserve">JE00100       N033109143803      83061                  370JL                                                                 88.85               </t>
  </si>
  <si>
    <t xml:space="preserve">JE00100       N033109166         46111                  370JL                                                                 10.26               </t>
  </si>
  <si>
    <t xml:space="preserve">JE00100       N033109166801      84121                  370JL                                                                 36.83               </t>
  </si>
  <si>
    <t xml:space="preserve">JE00100       N033109166803      83061                  370JL                                                                 177.7               </t>
  </si>
  <si>
    <t xml:space="preserve">JE00100       N033109179         46111                  370JL                                                                  5.96               </t>
  </si>
  <si>
    <t xml:space="preserve">JE00100       N033109179803      83061                  370JL                                                                 88.85               </t>
  </si>
  <si>
    <t xml:space="preserve">JE00100       N033109189860      84121                  370JL                                                                 19.24               </t>
  </si>
  <si>
    <t xml:space="preserve">JE00100       N033109194         46111                  370JL                                                                125.28               </t>
  </si>
  <si>
    <t xml:space="preserve">JE00100       N033109227803      83021                  370JL                                                                830.85               </t>
  </si>
  <si>
    <t xml:space="preserve">JE00100       N033109227803      83061                  370JL                                                                 302.3               </t>
  </si>
  <si>
    <t xml:space="preserve">JE00100       N033109231         53011                  370JL                                                              29342.77               </t>
  </si>
  <si>
    <t xml:space="preserve">JE00100       N033109231         53026                  370JL                                                              15344.15               </t>
  </si>
  <si>
    <t xml:space="preserve">JE00100       N033109231100      54121                  370JL                                                                 28.06               </t>
  </si>
  <si>
    <t xml:space="preserve">JE00100       N033109232         53026                  370JL                                                                 762.3               </t>
  </si>
  <si>
    <t xml:space="preserve">JE00100       N033109240         46111                  370JL                                                                  5.75               </t>
  </si>
  <si>
    <t xml:space="preserve">JE00100       N033109240803      83061                  370JL                                                                118.36               </t>
  </si>
  <si>
    <t xml:space="preserve">JE00100       N033109248         53014                  370JL                                                                   300               </t>
  </si>
  <si>
    <t xml:space="preserve">JE00100       N033109248         53021                  370JL                                                                330.51               </t>
  </si>
  <si>
    <t xml:space="preserve">JE00100       N033109248100      54121                  370JL                                                                204.34               </t>
  </si>
  <si>
    <t xml:space="preserve">JE00100       N033109248509      54121                  370JL                                                                 21.16               </t>
  </si>
  <si>
    <t xml:space="preserve">JE00100       N033109264801      84121                  370JL                                                                 44.41               </t>
  </si>
  <si>
    <t xml:space="preserve">JE00100       N033109267         46111                  370JL                                                                 32.43               </t>
  </si>
  <si>
    <t xml:space="preserve">JE00100       N033109269         46111                  370JL                                                                  8.17               </t>
  </si>
  <si>
    <t xml:space="preserve">JE00100       N033109269801      84121                  370JL                                                                 35.05               </t>
  </si>
  <si>
    <t xml:space="preserve">JE00100       N033109271803      83061                  370JL                                                                125.44               </t>
  </si>
  <si>
    <t xml:space="preserve">JE00100       N033109272         46111                  370JL                                                                 26.94               </t>
  </si>
  <si>
    <t xml:space="preserve">JE00100       N033109272801      84121                  370JL                                                                 86.24               </t>
  </si>
  <si>
    <t xml:space="preserve">JE00100       N033109272803      83061                  370JL                                                                263.65               </t>
  </si>
  <si>
    <t xml:space="preserve">JE00100       N033109275         46113 300              370JL                                                               2467.16               </t>
  </si>
  <si>
    <t xml:space="preserve">JE00100       N033109275509      54121                  370JL                                                                 494.9               </t>
  </si>
  <si>
    <t xml:space="preserve">JE00100       N033109276524      54121                  370JL                                                                  5.08               </t>
  </si>
  <si>
    <t xml:space="preserve">JE00100       N033109278522      54121                  370JL                                                                  6.39               </t>
  </si>
  <si>
    <t xml:space="preserve">JE00100       N033109299         46111                  370JL                                                              14326.44               </t>
  </si>
  <si>
    <t xml:space="preserve">JE00100       N033109299         53014                  370JL                                                                   833               </t>
  </si>
  <si>
    <t xml:space="preserve">JE00100       N033109299310      54121                  370JL                                                                246.67               </t>
  </si>
  <si>
    <t xml:space="preserve">JE00100       N033109300         53062                  370JL                                                              39848.22               </t>
  </si>
  <si>
    <t xml:space="preserve">JE00100       N033109302801      84121                  370JL                                                                  5.33               </t>
  </si>
  <si>
    <t xml:space="preserve">JE00100       N033109302803      83061                  370JL                                                                 91.56               </t>
  </si>
  <si>
    <t xml:space="preserve">JE00100       N033109305         46111                  370JL                                                                 16.74               </t>
  </si>
  <si>
    <t xml:space="preserve">JE00100       N033109305801      84121                  370JL                                                                110.08               </t>
  </si>
  <si>
    <t xml:space="preserve">JE00100       N033109305803      83021                  370JL                                                                 88.69               </t>
  </si>
  <si>
    <t xml:space="preserve">JE00100       N033109305803      83061                  370JL                                                                 88.69               </t>
  </si>
  <si>
    <t xml:space="preserve">JE00100       N033109308         46111                  370JL                                                                 29.74               </t>
  </si>
  <si>
    <t xml:space="preserve">JE00100       N033109308801      84121                  370JL                                                                 33.46               </t>
  </si>
  <si>
    <t xml:space="preserve">JE00100       N033109308803      83021                  370JL                                                                    78               </t>
  </si>
  <si>
    <t xml:space="preserve">JE00100       N033109308803      83061                  370JL                                                                198.65               </t>
  </si>
  <si>
    <t xml:space="preserve">JE00100       N033109312         46111                  370JL                                                                 34.09               </t>
  </si>
  <si>
    <t xml:space="preserve">JE00100       N033109312801      84121                  370JL                                                                 16.48               </t>
  </si>
  <si>
    <t xml:space="preserve">JE00100       N033109312803      83021                  370JL                                                                993.85               </t>
  </si>
  <si>
    <t xml:space="preserve">JE00100       N033109314         46111                  370JL                                                                  31.6               </t>
  </si>
  <si>
    <t xml:space="preserve">JE00100       N033109318801      84121                  370JL                                                                 17.42               </t>
  </si>
  <si>
    <t xml:space="preserve">JE00100       N033109318803      83061                  370JL                                                                 88.85               </t>
  </si>
  <si>
    <t xml:space="preserve">JE00100       N033109320801      84121                  370JL                                                                 30.86               </t>
  </si>
  <si>
    <t xml:space="preserve">JE00100       N033109331         53026                  370JL                                                              11806.28               </t>
  </si>
  <si>
    <t xml:space="preserve">JE00100       N033109331100      53063                  370JL                                                                 302.9               </t>
  </si>
  <si>
    <t xml:space="preserve">JE00100       N033109331100      54121                  370JL                                                                  8.46               </t>
  </si>
  <si>
    <t xml:space="preserve">JE00100       N033109331610      64258                  370JL                                                                 88.69               </t>
  </si>
  <si>
    <t xml:space="preserve">JE00100       N033109332803      83061                  370JL                                                                386.55               </t>
  </si>
  <si>
    <t xml:space="preserve">JE00100       N033109333803      83061                  370JL                                                                166.42               </t>
  </si>
  <si>
    <t xml:space="preserve">JE00100       N033109335         46111                  370JL                                                                 12.34               </t>
  </si>
  <si>
    <t xml:space="preserve">JE00100       N033109335801      84121                  370JL                                                                  7.08               </t>
  </si>
  <si>
    <t xml:space="preserve">JE00100       N033109336         46111                  370JL                                                                 18.54               </t>
  </si>
  <si>
    <t xml:space="preserve">JE00100       N033109336801      84121                  370JL                                                                 20.36               </t>
  </si>
  <si>
    <t xml:space="preserve">JE00100       N033109337801      84121                  370JL                                                                 30.35               </t>
  </si>
  <si>
    <t xml:space="preserve">JE00100       N033109337803      83061                  370JL                                                                 88.69               </t>
  </si>
  <si>
    <t xml:space="preserve">JE00100       N033109338         46111                  370JL                                                                 10.16               </t>
  </si>
  <si>
    <t xml:space="preserve">JE00100       N033109338803      83021                  370JL                                                                 70.04               </t>
  </si>
  <si>
    <t xml:space="preserve">JE00100       N033109338803      83061                  370JL                                                                 70.16               </t>
  </si>
  <si>
    <t xml:space="preserve">JE00100       N033109339         46111                  370JL                                                                  5.96               </t>
  </si>
  <si>
    <t xml:space="preserve">JE00100       N033109339801      84121                  370JL                                                                 23.27               </t>
  </si>
  <si>
    <t xml:space="preserve">JE00100       N033109339803      83021                  370JL                                                                158.89               </t>
  </si>
  <si>
    <t xml:space="preserve">JE00100       N033109341         46111                  370JL                                                                 74.85               </t>
  </si>
  <si>
    <t xml:space="preserve">JE00100       N033109341         53021                  370JL                                                               3693.27               </t>
  </si>
  <si>
    <t xml:space="preserve">JE00100       N033109341         53024                  370JL                                                               19682.3               </t>
  </si>
  <si>
    <t xml:space="preserve">JE00100       N033109341100      53063                  370JL                                                                  2249               </t>
  </si>
  <si>
    <t xml:space="preserve">JE00100       N033109341100      54121                  370JL                                                                165.06               </t>
  </si>
  <si>
    <t xml:space="preserve">JE00100       N033109341590      53011 BASIC            370JL                                                               1068.15               </t>
  </si>
  <si>
    <t xml:space="preserve">JE00100       N033109342         46111                  370JL                                                                 11.18               </t>
  </si>
  <si>
    <t xml:space="preserve">JE00100       N033109342803      83021                  370JL                                                                539.14               </t>
  </si>
  <si>
    <t xml:space="preserve">JE00100       N033109344801      84121                  370JL                                                                111.52               </t>
  </si>
  <si>
    <t xml:space="preserve">JE00100       N033109344803      83061                  370JL                                                                133.82               </t>
  </si>
  <si>
    <t xml:space="preserve">JE00100       N033109345801      84121                  370JL                                                                  6.45               </t>
  </si>
  <si>
    <t xml:space="preserve">JE00100       N033109348         53021                  370JL                                                               2444.05               </t>
  </si>
  <si>
    <t xml:space="preserve">JE00100       N033109348         53061                  370JL                                                                  1595               </t>
  </si>
  <si>
    <t xml:space="preserve">JE00100       N033109348100      54121                  370JL                                                                 58.51               </t>
  </si>
  <si>
    <t xml:space="preserve">JE00100       N033109348509      54121                  370JL                                                                 95.07               </t>
  </si>
  <si>
    <t xml:space="preserve">JE00100       N033109354524      54121                  370JL                                                                 18.07               </t>
  </si>
  <si>
    <t xml:space="preserve">JE00100       N033109370518      54121                  370JL                                                                  9.56               </t>
  </si>
  <si>
    <t xml:space="preserve">JE00100       N033109370562      54831                  370JL                                                                113.34               </t>
  </si>
  <si>
    <t xml:space="preserve">JE00100       N033109370590      54015                  370JL                                                               1101.49               </t>
  </si>
  <si>
    <t xml:space="preserve">JE00100       N033109370590      54121                  370JL                                                                 17.42               </t>
  </si>
  <si>
    <t xml:space="preserve">JE00100       N033109370605      64121                  370JL                                                                 50.01               </t>
  </si>
  <si>
    <t xml:space="preserve">JE00100       N033109370611      64121                  370JL                                                                255.65               </t>
  </si>
  <si>
    <t xml:space="preserve">JE00100       N033109370620      63061                  370JL                                                                816.73               </t>
  </si>
  <si>
    <t xml:space="preserve">JE00100       N033109370620      64258                  370JL                                                                 93.73               </t>
  </si>
  <si>
    <t xml:space="preserve">JE00100       N033109370662      63061                  370JL                                                               1149.41               </t>
  </si>
  <si>
    <t xml:space="preserve">JE00100       N033109370662      64121                  370JL                                                                 13.96               </t>
  </si>
  <si>
    <t xml:space="preserve">JE00100       N033109370810      84121                  370JL                                                                 33.14               </t>
  </si>
  <si>
    <t xml:space="preserve">JE00100       N033109370830      83065                  370JL                                                               1724.46               </t>
  </si>
  <si>
    <t xml:space="preserve">JE00100       N033109370830      84121                  370JL                                                               2729.03               </t>
  </si>
  <si>
    <t xml:space="preserve">JE00100       N033109370851      84121                  370JL                                                                 30.76               </t>
  </si>
  <si>
    <t xml:space="preserve">JE00100       N033109370909      94121                  370JL                                                               1266.67               </t>
  </si>
  <si>
    <t xml:space="preserve">JE00100       N033109370912      94121                  370JL                                                                    10               </t>
  </si>
  <si>
    <t xml:space="preserve">JE00100       N033109370917      94121                  370JL                                                                 10.53               </t>
  </si>
  <si>
    <t xml:space="preserve">JE00100       N033109370922      94121                  370JL                                                                 69.19               </t>
  </si>
  <si>
    <t xml:space="preserve">JE00100       N033109370931      94121                  370JL                                                                  9.56               </t>
  </si>
  <si>
    <t xml:space="preserve">JE00100       N033109370933      94121                  370JL                                                                 12.23               </t>
  </si>
  <si>
    <t xml:space="preserve">JE00100       N033109370936      94121                  370JL                                                                653.11               </t>
  </si>
  <si>
    <t xml:space="preserve">JE00100       N033109373527      54121                  370JL                                                                  23.3               </t>
  </si>
  <si>
    <t xml:space="preserve">JE00100       N033109375512      54121                  370JL                                                                  5.26               </t>
  </si>
  <si>
    <t xml:space="preserve">JE00100       N033109377         46113 300              370JL                                                              12245.93               </t>
  </si>
  <si>
    <t xml:space="preserve">JE00100       N033109377509      54121                  370JL                                                                180.32               </t>
  </si>
  <si>
    <t xml:space="preserve">JE00100       N033109378514      54121                  370JL                                                                  36.4               </t>
  </si>
  <si>
    <t xml:space="preserve">JE00100       N033109383         46111                  370JL                                                                 12.15               </t>
  </si>
  <si>
    <t xml:space="preserve">JE00100       N033109383803      83021                  370JL                                                                 128.6               </t>
  </si>
  <si>
    <t xml:space="preserve">JE00100       N033109386         46111                  370JL                                                                 17.56               </t>
  </si>
  <si>
    <t xml:space="preserve">JE00100       N033109386801      84121                  370JL                                                                 48.62               </t>
  </si>
  <si>
    <t xml:space="preserve">JE00100       N033109391801      84121                  370JL                                                                 68.28               </t>
  </si>
  <si>
    <t xml:space="preserve">JE00100       N033109391803      83021                  370JL                                                                 375.8               </t>
  </si>
  <si>
    <t xml:space="preserve">JE00100       N033109391803      83061                  370JL                                                                 88.69               </t>
  </si>
  <si>
    <t xml:space="preserve">JE00100       N033109395         46113 101              370JL                                                                317.79               </t>
  </si>
  <si>
    <t xml:space="preserve">JE00100       N033109395         46113 131              370JL                                                                  74.9               </t>
  </si>
  <si>
    <t xml:space="preserve">JE00100       N033109396         46113 101              370JL                                                                 22.73               </t>
  </si>
  <si>
    <t xml:space="preserve">JE00100       N033109398588      54121                  370JL                                                                 51.47               </t>
  </si>
  <si>
    <t xml:space="preserve">JE00100       N033109398613      64121                  370JL                                                                 39.85               </t>
  </si>
  <si>
    <t xml:space="preserve">JE00100       N033109398814      84121                  370JL                                                                 29.91               </t>
  </si>
  <si>
    <t xml:space="preserve">JE00100       N033109398852      84121                  370JL                                                                  9.59               </t>
  </si>
  <si>
    <t xml:space="preserve">JE00100       N033109398887      84121                  370JL                                                                 11.86               </t>
  </si>
  <si>
    <t xml:space="preserve">JE00100       N033109398897      84121                  370JL                                                                  9.65               </t>
  </si>
  <si>
    <t xml:space="preserve">JE00100       N033109398898      84121                  370JL                                                                 75.63               </t>
  </si>
  <si>
    <t xml:space="preserve">JE00100       N033109398920      94121                  370JL                                                                  9.65               </t>
  </si>
  <si>
    <t xml:space="preserve">JE00100       N033109398953      94121                  370JL                                                                 79.44               </t>
  </si>
  <si>
    <t xml:space="preserve">JE00100       N033109405801      84121                  370JL                                                                 91.46               </t>
  </si>
  <si>
    <t xml:space="preserve">JE00100       N033109406801      84121                  370JL                                                                 22.91               </t>
  </si>
  <si>
    <t xml:space="preserve">JE00100       N033109407         46111                  370JL                                                                 18.88               </t>
  </si>
  <si>
    <t xml:space="preserve">JE00100       N033109407801      84121                  370JL                                                                 10.62               </t>
  </si>
  <si>
    <t xml:space="preserve">JE00100       N033109408801      84121                  370JL                                                                 35.44               </t>
  </si>
  <si>
    <t xml:space="preserve">JE00100       N033109408803      83061                  370JL                                                                 98.46               </t>
  </si>
  <si>
    <t xml:space="preserve">JE00100       N033109412         46111                  370JL                                                                  5.08               </t>
  </si>
  <si>
    <t xml:space="preserve">JE00100       N033109412803      83061                  370JL                                                                330.27               </t>
  </si>
  <si>
    <t xml:space="preserve">JE00100       N033109416525      54121                  370JL                                                                 36.28               </t>
  </si>
  <si>
    <t xml:space="preserve">JE00100       N033109418         46111                  370JL                                                                 15.04               </t>
  </si>
  <si>
    <t xml:space="preserve">JE00100       N033109418801      84121                  370JL                                                                 25.91               </t>
  </si>
  <si>
    <t xml:space="preserve">JE00100       N033109418803      83021                  370JL                                                                590.16               </t>
  </si>
  <si>
    <t xml:space="preserve">JE00100       N033109421509      54121                  370JL                                                                 15.04               </t>
  </si>
  <si>
    <t xml:space="preserve">JE00100       N033109423801      84121                  370JL                                                                  5.33               </t>
  </si>
  <si>
    <t xml:space="preserve">JE00100       N033109430         46111                  370JL                                                                 30.19               </t>
  </si>
  <si>
    <t xml:space="preserve">JE00100       N033109430801      84121                  370JL                                                                 15.08               </t>
  </si>
  <si>
    <t xml:space="preserve">JE00100       N033109430803      83061                  370JL                                                                 140.2               </t>
  </si>
  <si>
    <t xml:space="preserve">JE00100       N033109442803      83061                  370JL                                                                118.69               </t>
  </si>
  <si>
    <t xml:space="preserve">JE00100       N033109448509      54121                  370JL                                                                 15.15               </t>
  </si>
  <si>
    <t xml:space="preserve">JE00100       N033109449         46111                  370JL                                                              10988.63               </t>
  </si>
  <si>
    <t xml:space="preserve">JE00100       N033109449509      54121                  370JL                                                                 11.96               </t>
  </si>
  <si>
    <t xml:space="preserve">JE00100       N033109451803      83021                  370JL                                                                 224.8               </t>
  </si>
  <si>
    <t xml:space="preserve">JE00100       N033109451803      83061                  370JL                                                                754.17               </t>
  </si>
  <si>
    <t xml:space="preserve">JE00100       N033109452         46111                  370JL                                                                106.72               </t>
  </si>
  <si>
    <t xml:space="preserve">JE00100       N033109452801      84121                  370JL                                                                 141.4               </t>
  </si>
  <si>
    <t xml:space="preserve">JE00100       N033109452803      83061                  370JL                                                                309.35               </t>
  </si>
  <si>
    <t xml:space="preserve">JE00100       N033109453         46111                  370JL                                                                 31.55               </t>
  </si>
  <si>
    <t xml:space="preserve">JE00100       N033109453803      83061                  370JL                                                                 88.85               </t>
  </si>
  <si>
    <t xml:space="preserve">JE00100       N033109454         46111                  370JL                                                                 16.04               </t>
  </si>
  <si>
    <t xml:space="preserve">JE00100       N033109454801      84121                  370JL                                                                153.26               </t>
  </si>
  <si>
    <t xml:space="preserve">JE00100       N033109455         46111                  370JL                                                                 15.25               </t>
  </si>
  <si>
    <t xml:space="preserve">JE00100       N033109455801      84121                  370JL                                                                108.72               </t>
  </si>
  <si>
    <t xml:space="preserve">JE00100       N033109456         46111                  370JL                                                                 15.44               </t>
  </si>
  <si>
    <t xml:space="preserve">JE00100       N033109456801      84121                  370JL                                                                  9.07               </t>
  </si>
  <si>
    <t xml:space="preserve">JE00100       N033109456803      83021                  370JL                                                                 70.16               </t>
  </si>
  <si>
    <t xml:space="preserve">JE00100       N033109459801      84121                  370JL                                                                 20.08               </t>
  </si>
  <si>
    <t xml:space="preserve">JE00100       N033109459803      83061                  370JL                                                                201.86               </t>
  </si>
  <si>
    <t xml:space="preserve">JE00100       N033109464803      83021                  370JL                                                                 346.9               </t>
  </si>
  <si>
    <t xml:space="preserve">JE00100       N033109467         46111                  370JL                                                                  5.08               </t>
  </si>
  <si>
    <t xml:space="preserve">JE00100       N033109467801      84121                  370JL                                                                 20.32               </t>
  </si>
  <si>
    <t xml:space="preserve">JE00100       N033109476         46113 300              370JL                                                              13255.43               </t>
  </si>
  <si>
    <t xml:space="preserve">JE00100       N033109476509      54121                  370JL                                                                366.39               </t>
  </si>
  <si>
    <t xml:space="preserve">JE00100       N033109481801      84121                  370JL                                                                  5.08               </t>
  </si>
  <si>
    <t xml:space="preserve">JE00100       N033109485         46111                  370JL                                                                  6.89               </t>
  </si>
  <si>
    <t xml:space="preserve">JE00100       N033109485801      84121                  370JL                                                                 42.73               </t>
  </si>
  <si>
    <t xml:space="preserve">JE00100       N033109485803      83061                  370JL                                                                145.58               </t>
  </si>
  <si>
    <t xml:space="preserve">JE00100       N033109487         46111                  370JL                                                                   9.1               </t>
  </si>
  <si>
    <t xml:space="preserve">JE00100       N033109487801      84121                  370JL                                                                 21.48               </t>
  </si>
  <si>
    <t xml:space="preserve">JE00100       N033109490         46111                  370JL                                                                 20.78               </t>
  </si>
  <si>
    <t xml:space="preserve">JE00100       N033109490801      84121                  370JL                                                                 15.63               </t>
  </si>
  <si>
    <t xml:space="preserve">JE00100       N033109491         46111                  370JL                                                                  5.51               </t>
  </si>
  <si>
    <t xml:space="preserve">JE00100       N033109491801      84121                  370JL                                                                  7.35               </t>
  </si>
  <si>
    <t xml:space="preserve">JE00100       N033109504         46111                  370JL                                                                 17.42               </t>
  </si>
  <si>
    <t xml:space="preserve">JE00100       N033109526801      53061                  370JL                                                                   714               </t>
  </si>
  <si>
    <t xml:space="preserve">JE00100       N033109528         53011 DUF              370JL                                                              34533.58               </t>
  </si>
  <si>
    <t xml:space="preserve">JE00100       N033109528         53014                  370JL                                                                    15               </t>
  </si>
  <si>
    <t xml:space="preserve">JE00100       N033109528         53026                  370JL                                                              82043.46               </t>
  </si>
  <si>
    <t xml:space="preserve">JE00100       N033109528100      53061                  370JL                                                                  3757               </t>
  </si>
  <si>
    <t xml:space="preserve">JE00100       N033109528100      53063                  370JL                                                                 93.89               </t>
  </si>
  <si>
    <t xml:space="preserve">JE00100       N033109528100      54121                  370JL                                                                 79.03               </t>
  </si>
  <si>
    <t xml:space="preserve">JE00100       N033109532         53026                  370JL                                                              33524.34               </t>
  </si>
  <si>
    <t xml:space="preserve">JE00100       N033109532100      53063                  370JL                                                                 88.85               </t>
  </si>
  <si>
    <t xml:space="preserve">JE00100       N033109532100      54121                  370JL                                                                140.47               </t>
  </si>
  <si>
    <t xml:space="preserve">JE00100       N033109532590      53011 DUF              370JL                                                               18909.3               </t>
  </si>
  <si>
    <t xml:space="preserve">JE00100       N033109533         53011 BASIC            370JL                                                               4665.16               </t>
  </si>
  <si>
    <t xml:space="preserve">JE00100       N033109533         53014                  370JL                                                                 262.5               </t>
  </si>
  <si>
    <t xml:space="preserve">JE00100       N033109533         53021                  370JL                                                              14987.87               </t>
  </si>
  <si>
    <t xml:space="preserve">JE00100       N033109533         53024                  370JL                                                               40691.5               </t>
  </si>
  <si>
    <t xml:space="preserve">JE00100       N033109543         46111                  370JL                                                                168.44               </t>
  </si>
  <si>
    <t xml:space="preserve">JE00100       N033109543         53014                  370JL                                                                 802.6               </t>
  </si>
  <si>
    <t xml:space="preserve">JE00100       N033109543         53021                  370JL                                                              29687.67               </t>
  </si>
  <si>
    <t xml:space="preserve">JE00100       N033109543         53024                  370JL                                                              84822.78               </t>
  </si>
  <si>
    <t xml:space="preserve">JE00100       N033109543100      53063                  370JL                                                                  1235               </t>
  </si>
  <si>
    <t xml:space="preserve">JE00100       N033109543100      54121                  370JL                                                                311.66               </t>
  </si>
  <si>
    <t xml:space="preserve">JE00100       N033109543590      53011 BASIC            370JL                                                               5546.51               </t>
  </si>
  <si>
    <t xml:space="preserve">JE00100       N033109543590      53011 DC               370JL                                                                3206.7               </t>
  </si>
  <si>
    <t xml:space="preserve">JE00100       N033109560         53021                  370JL                                                                597.43               </t>
  </si>
  <si>
    <t xml:space="preserve">JE00100       N033109560         53024                  370JL                                                                973.25               </t>
  </si>
  <si>
    <t xml:space="preserve">JE00100       N033109560100      54121                  370JL                                                                 84.35               </t>
  </si>
  <si>
    <t xml:space="preserve">JE00100       N033109566100      54121                  370JL                                                                316.02               </t>
  </si>
  <si>
    <t xml:space="preserve">JE00100       N033109860802      84121                  370JL                                                                 95.19               </t>
  </si>
  <si>
    <t xml:space="preserve">JE00100       N033109862         46111                  370JL                                                                  2928               </t>
  </si>
  <si>
    <t xml:space="preserve">JE00100       N033109862310      54121                  370JL                                                                  7.31               </t>
  </si>
  <si>
    <t xml:space="preserve">JE00100       N033109862509      54121                  370JL                                                                134.47               </t>
  </si>
  <si>
    <t xml:space="preserve">JE00100       N033109370809      84121                  370JL                                                                 22.96               </t>
  </si>
  <si>
    <t xml:space="preserve">JE00100       N033109110         20137                  370JL                                                             -935599.6               </t>
  </si>
  <si>
    <t>Journal Entry Upload displaying three column GL account and dollar amounts. Converted into a text file for automatic upload into JD Edwards ERP (JDE) for accounting close. Designed to improve accuracy by reducing month-end close errors caused by manual data entry keying or repetitive copy and pasting directly into JDE. Improved efficiency by saving many hours of time.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</si>
</sst>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m/dd/yy;@"/>
  </numFmts>
  <fonts count="20">
    <font>
      <sz val="11"/>
      <name val="Comic Sans MS"/>
    </font>
    <font>
      <sz val="11"/>
      <name val="Comic Sans MS"/>
      <family val="4"/>
    </font>
    <font>
      <sz val="14"/>
      <name val="Univers Cd (W1)"/>
      <family val="2"/>
    </font>
    <font>
      <sz val="12"/>
      <name val="TimesNewRomanPS"/>
      <family val="1"/>
    </font>
    <font>
      <sz val="14"/>
      <name val="Univers Cd (W1)"/>
    </font>
    <font>
      <b/>
      <sz val="14"/>
      <name val="Univers Cd (W1)"/>
    </font>
    <font>
      <sz val="8"/>
      <name val="Univers Cd (W1)"/>
    </font>
    <font>
      <sz val="14"/>
      <name val="Arial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sz val="8"/>
      <color indexed="12"/>
      <name val="Univers Cd (W1)"/>
    </font>
    <font>
      <sz val="14"/>
      <color indexed="12"/>
      <name val="Arial"/>
      <family val="2"/>
    </font>
    <font>
      <sz val="14"/>
      <color indexed="12"/>
      <name val="Univers Cd (W1)"/>
    </font>
    <font>
      <i/>
      <sz val="14"/>
      <name val="Shelley Allegro Script"/>
    </font>
    <font>
      <i/>
      <sz val="16"/>
      <name val="Shelley Allegro Script"/>
      <family val="2"/>
    </font>
    <font>
      <i/>
      <sz val="16"/>
      <name val="Univers Cd (W1)"/>
      <family val="2"/>
    </font>
    <font>
      <i/>
      <sz val="14"/>
      <name val="Arial"/>
      <family val="2"/>
    </font>
    <font>
      <b/>
      <sz val="10"/>
      <color rgb="FF000080"/>
      <name val="Arial"/>
      <family val="2"/>
    </font>
    <font>
      <b/>
      <sz val="11"/>
      <color theme="5"/>
      <name val="Comic Sans MS"/>
      <family val="4"/>
    </font>
    <font>
      <sz val="12"/>
      <color rgb="FF1F2328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</fills>
  <borders count="28">
    <border>
      <left/>
      <right/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7">
    <xf numFmtId="0" fontId="0" fillId="0" borderId="0" xfId="0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3" fillId="0" borderId="0" xfId="0" applyFont="1"/>
    <xf numFmtId="0" fontId="2" fillId="0" borderId="4" xfId="0" applyFont="1" applyBorder="1"/>
    <xf numFmtId="0" fontId="2" fillId="0" borderId="5" xfId="0" applyFont="1" applyBorder="1"/>
    <xf numFmtId="0" fontId="4" fillId="0" borderId="4" xfId="0" applyFont="1" applyBorder="1"/>
    <xf numFmtId="0" fontId="4" fillId="0" borderId="0" xfId="0" applyFont="1" applyBorder="1"/>
    <xf numFmtId="0" fontId="4" fillId="0" borderId="5" xfId="0" applyFont="1" applyBorder="1"/>
    <xf numFmtId="0" fontId="4" fillId="0" borderId="0" xfId="0" applyFont="1" applyBorder="1" applyAlignment="1">
      <alignment vertical="top"/>
    </xf>
    <xf numFmtId="0" fontId="4" fillId="0" borderId="0" xfId="0" applyFont="1"/>
    <xf numFmtId="0" fontId="2" fillId="0" borderId="0" xfId="0" applyFont="1" applyBorder="1"/>
    <xf numFmtId="0" fontId="2" fillId="0" borderId="0" xfId="0" applyFont="1" applyAlignment="1">
      <alignment vertical="center"/>
    </xf>
    <xf numFmtId="0" fontId="3" fillId="0" borderId="0" xfId="0" applyFont="1" applyBorder="1"/>
    <xf numFmtId="0" fontId="2" fillId="0" borderId="0" xfId="0" applyFont="1" applyBorder="1" applyAlignment="1">
      <alignment horizontal="centerContinuous" vertical="center"/>
    </xf>
    <xf numFmtId="0" fontId="2" fillId="0" borderId="0" xfId="0" applyFont="1" applyBorder="1" applyAlignment="1">
      <alignment vertical="center"/>
    </xf>
    <xf numFmtId="0" fontId="2" fillId="0" borderId="0" xfId="0" applyFont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4" fontId="2" fillId="0" borderId="0" xfId="0" quotePrefix="1" applyNumberFormat="1" applyFont="1" applyBorder="1" applyAlignment="1">
      <alignment horizontal="center" vertical="center"/>
    </xf>
    <xf numFmtId="0" fontId="2" fillId="0" borderId="0" xfId="0" quotePrefix="1" applyFont="1" applyBorder="1" applyAlignment="1">
      <alignment horizontal="left" vertical="center"/>
    </xf>
    <xf numFmtId="0" fontId="6" fillId="0" borderId="2" xfId="0" applyFont="1" applyBorder="1"/>
    <xf numFmtId="4" fontId="4" fillId="0" borderId="9" xfId="1" applyNumberFormat="1" applyFont="1" applyBorder="1" applyAlignment="1">
      <alignment vertical="top"/>
    </xf>
    <xf numFmtId="0" fontId="7" fillId="0" borderId="10" xfId="0" applyNumberFormat="1" applyFont="1" applyBorder="1" applyAlignment="1">
      <alignment vertical="top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0" fontId="8" fillId="2" borderId="13" xfId="0" applyFont="1" applyFill="1" applyBorder="1" applyAlignment="1">
      <alignment horizontal="center"/>
    </xf>
    <xf numFmtId="4" fontId="7" fillId="0" borderId="10" xfId="0" applyNumberFormat="1" applyFont="1" applyBorder="1" applyAlignment="1">
      <alignment vertical="center"/>
    </xf>
    <xf numFmtId="49" fontId="7" fillId="0" borderId="14" xfId="0" applyNumberFormat="1" applyFont="1" applyBorder="1" applyAlignment="1">
      <alignment horizontal="left" vertical="center" indent="1"/>
    </xf>
    <xf numFmtId="49" fontId="7" fillId="0" borderId="15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left" vertical="center" indent="1"/>
    </xf>
    <xf numFmtId="0" fontId="4" fillId="0" borderId="9" xfId="0" applyFont="1" applyBorder="1"/>
    <xf numFmtId="0" fontId="10" fillId="0" borderId="7" xfId="0" applyFont="1" applyBorder="1"/>
    <xf numFmtId="0" fontId="11" fillId="0" borderId="14" xfId="0" applyFont="1" applyBorder="1" applyAlignment="1">
      <alignment vertical="center"/>
    </xf>
    <xf numFmtId="0" fontId="11" fillId="0" borderId="14" xfId="0" applyFont="1" applyBorder="1"/>
    <xf numFmtId="0" fontId="11" fillId="0" borderId="16" xfId="0" applyFont="1" applyBorder="1" applyAlignment="1">
      <alignment vertical="center"/>
    </xf>
    <xf numFmtId="0" fontId="12" fillId="0" borderId="14" xfId="0" applyFont="1" applyBorder="1" applyAlignment="1">
      <alignment horizontal="center" vertical="center"/>
    </xf>
    <xf numFmtId="0" fontId="12" fillId="0" borderId="9" xfId="0" applyFont="1" applyBorder="1" applyAlignment="1">
      <alignment horizontal="centerContinuous" vertical="center"/>
    </xf>
    <xf numFmtId="0" fontId="12" fillId="0" borderId="17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0" xfId="0" applyFont="1" applyBorder="1" applyAlignment="1">
      <alignment vertical="top"/>
    </xf>
    <xf numFmtId="0" fontId="5" fillId="0" borderId="0" xfId="0" applyFont="1" applyBorder="1" applyAlignment="1">
      <alignment horizontal="center" vertical="center"/>
    </xf>
    <xf numFmtId="0" fontId="13" fillId="0" borderId="18" xfId="0" applyFont="1" applyBorder="1" applyAlignment="1">
      <alignment vertical="center"/>
    </xf>
    <xf numFmtId="0" fontId="14" fillId="0" borderId="19" xfId="0" applyFont="1" applyBorder="1" applyAlignment="1">
      <alignment horizontal="center" vertical="center"/>
    </xf>
    <xf numFmtId="49" fontId="15" fillId="0" borderId="0" xfId="0" applyNumberFormat="1" applyFont="1" applyBorder="1"/>
    <xf numFmtId="49" fontId="15" fillId="0" borderId="20" xfId="0" applyNumberFormat="1" applyFont="1" applyBorder="1"/>
    <xf numFmtId="0" fontId="0" fillId="0" borderId="2" xfId="0" applyBorder="1"/>
    <xf numFmtId="14" fontId="14" fillId="0" borderId="21" xfId="0" quotePrefix="1" applyNumberFormat="1" applyFont="1" applyBorder="1" applyAlignment="1">
      <alignment horizontal="center" vertical="center"/>
    </xf>
    <xf numFmtId="14" fontId="14" fillId="0" borderId="15" xfId="0" quotePrefix="1" applyNumberFormat="1" applyFont="1" applyBorder="1" applyAlignment="1">
      <alignment horizontal="center" vertical="center"/>
    </xf>
    <xf numFmtId="0" fontId="13" fillId="0" borderId="22" xfId="0" applyFont="1" applyBorder="1" applyAlignment="1">
      <alignment vertical="center"/>
    </xf>
    <xf numFmtId="49" fontId="7" fillId="3" borderId="9" xfId="0" applyNumberFormat="1" applyFont="1" applyFill="1" applyBorder="1" applyAlignment="1">
      <alignment horizontal="center" vertical="center"/>
    </xf>
    <xf numFmtId="49" fontId="7" fillId="3" borderId="10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horizontal="center"/>
    </xf>
    <xf numFmtId="49" fontId="16" fillId="0" borderId="10" xfId="0" applyNumberFormat="1" applyFont="1" applyBorder="1" applyAlignment="1">
      <alignment horizontal="center" vertical="center"/>
    </xf>
    <xf numFmtId="49" fontId="7" fillId="0" borderId="23" xfId="0" applyNumberFormat="1" applyFont="1" applyBorder="1" applyAlignment="1">
      <alignment horizontal="left" vertical="center" indent="1"/>
    </xf>
    <xf numFmtId="49" fontId="7" fillId="0" borderId="17" xfId="0" applyNumberFormat="1" applyFont="1" applyBorder="1" applyAlignment="1">
      <alignment horizontal="left" vertical="center" indent="1"/>
    </xf>
    <xf numFmtId="0" fontId="0" fillId="0" borderId="9" xfId="0" applyBorder="1"/>
    <xf numFmtId="49" fontId="7" fillId="0" borderId="14" xfId="0" applyNumberFormat="1" applyFont="1" applyFill="1" applyBorder="1" applyAlignment="1">
      <alignment vertical="center"/>
    </xf>
    <xf numFmtId="0" fontId="3" fillId="0" borderId="0" xfId="0" applyFont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49" fontId="7" fillId="0" borderId="14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49" fontId="7" fillId="0" borderId="14" xfId="0" applyNumberFormat="1" applyFont="1" applyBorder="1" applyAlignment="1">
      <alignment horizontal="left" vertical="center"/>
    </xf>
    <xf numFmtId="43" fontId="7" fillId="0" borderId="10" xfId="1" applyFont="1" applyBorder="1" applyAlignment="1">
      <alignment vertical="center"/>
    </xf>
    <xf numFmtId="0" fontId="1" fillId="0" borderId="0" xfId="0" applyFont="1"/>
    <xf numFmtId="0" fontId="18" fillId="0" borderId="0" xfId="0" applyFont="1"/>
    <xf numFmtId="49" fontId="7" fillId="0" borderId="14" xfId="0" applyNumberFormat="1" applyFont="1" applyBorder="1" applyAlignment="1">
      <alignment horizontal="left" vertical="center" indent="1"/>
    </xf>
    <xf numFmtId="49" fontId="7" fillId="0" borderId="23" xfId="0" applyNumberFormat="1" applyFont="1" applyBorder="1" applyAlignment="1">
      <alignment horizontal="left" vertical="center" indent="1"/>
    </xf>
    <xf numFmtId="49" fontId="7" fillId="0" borderId="17" xfId="0" applyNumberFormat="1" applyFont="1" applyBorder="1" applyAlignment="1">
      <alignment horizontal="left" vertical="center" indent="1"/>
    </xf>
    <xf numFmtId="0" fontId="5" fillId="0" borderId="22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5" fillId="0" borderId="19" xfId="0" applyFont="1" applyBorder="1" applyAlignment="1">
      <alignment horizontal="left" vertical="top"/>
    </xf>
    <xf numFmtId="49" fontId="15" fillId="0" borderId="27" xfId="0" applyNumberFormat="1" applyFont="1" applyBorder="1"/>
    <xf numFmtId="49" fontId="15" fillId="0" borderId="16" xfId="0" applyNumberFormat="1" applyFont="1" applyBorder="1"/>
    <xf numFmtId="0" fontId="0" fillId="0" borderId="0" xfId="0" applyFill="1" applyAlignment="1">
      <alignment horizontal="center"/>
    </xf>
    <xf numFmtId="0" fontId="5" fillId="0" borderId="2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0" fontId="11" fillId="0" borderId="19" xfId="0" applyFont="1" applyBorder="1" applyAlignment="1">
      <alignment vertical="center"/>
    </xf>
    <xf numFmtId="0" fontId="12" fillId="0" borderId="14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19" xfId="0" applyNumberFormat="1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horizontal="center"/>
    </xf>
    <xf numFmtId="0" fontId="7" fillId="0" borderId="17" xfId="0" applyFont="1" applyFill="1" applyBorder="1" applyAlignment="1">
      <alignment horizontal="center"/>
    </xf>
    <xf numFmtId="0" fontId="11" fillId="0" borderId="14" xfId="0" applyFont="1" applyBorder="1" applyAlignment="1">
      <alignment horizontal="left" vertical="center"/>
    </xf>
    <xf numFmtId="0" fontId="11" fillId="0" borderId="20" xfId="0" applyFont="1" applyBorder="1" applyAlignment="1">
      <alignment horizontal="left" vertical="center"/>
    </xf>
    <xf numFmtId="0" fontId="11" fillId="0" borderId="15" xfId="0" applyFont="1" applyBorder="1" applyAlignment="1">
      <alignment horizontal="left" vertical="center"/>
    </xf>
    <xf numFmtId="0" fontId="11" fillId="0" borderId="23" xfId="0" applyFont="1" applyBorder="1" applyAlignment="1">
      <alignment horizontal="left" vertical="center"/>
    </xf>
    <xf numFmtId="0" fontId="11" fillId="0" borderId="17" xfId="0" applyFont="1" applyBorder="1" applyAlignment="1">
      <alignment horizontal="left" vertical="center"/>
    </xf>
    <xf numFmtId="0" fontId="19" fillId="0" borderId="0" xfId="0" applyFont="1"/>
    <xf numFmtId="49" fontId="5" fillId="0" borderId="27" xfId="0" applyNumberFormat="1" applyFont="1" applyBorder="1" applyAlignment="1">
      <alignment horizontal="left" vertical="top" wrapText="1"/>
    </xf>
    <xf numFmtId="49" fontId="5" fillId="0" borderId="0" xfId="0" applyNumberFormat="1" applyFont="1" applyBorder="1" applyAlignment="1">
      <alignment horizontal="left" vertical="top" wrapText="1"/>
    </xf>
    <xf numFmtId="49" fontId="5" fillId="0" borderId="21" xfId="0" applyNumberFormat="1" applyFont="1" applyBorder="1" applyAlignment="1">
      <alignment horizontal="left" vertical="top" wrapText="1"/>
    </xf>
    <xf numFmtId="49" fontId="5" fillId="0" borderId="16" xfId="0" applyNumberFormat="1" applyFont="1" applyBorder="1" applyAlignment="1">
      <alignment horizontal="left" vertical="top" wrapText="1"/>
    </xf>
    <xf numFmtId="49" fontId="5" fillId="0" borderId="20" xfId="0" applyNumberFormat="1" applyFont="1" applyBorder="1" applyAlignment="1">
      <alignment horizontal="left" vertical="top" wrapText="1"/>
    </xf>
    <xf numFmtId="49" fontId="5" fillId="0" borderId="15" xfId="0" applyNumberFormat="1" applyFont="1" applyBorder="1" applyAlignment="1">
      <alignment horizontal="left" vertical="top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5</xdr:row>
          <xdr:rowOff>9525</xdr:rowOff>
        </xdr:from>
        <xdr:to>
          <xdr:col>9</xdr:col>
          <xdr:colOff>0</xdr:colOff>
          <xdr:row>5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Z260"/>
  <sheetViews>
    <sheetView showGridLines="0" tabSelected="1" zoomScale="60" zoomScaleNormal="60" workbookViewId="0">
      <selection activeCell="U14" sqref="U14"/>
    </sheetView>
  </sheetViews>
  <sheetFormatPr defaultRowHeight="16.5"/>
  <cols>
    <col min="1" max="1" width="1.88671875" customWidth="1"/>
    <col min="2" max="2" width="2.5546875" customWidth="1"/>
    <col min="3" max="3" width="4.6640625" bestFit="1" customWidth="1"/>
    <col min="4" max="4" width="19.5546875" customWidth="1"/>
    <col min="5" max="5" width="11.5546875" customWidth="1"/>
    <col min="6" max="6" width="8" style="65" customWidth="1"/>
    <col min="7" max="7" width="12.33203125" bestFit="1" customWidth="1"/>
    <col min="8" max="8" width="5.77734375" bestFit="1" customWidth="1"/>
    <col min="9" max="9" width="8.109375" customWidth="1"/>
    <col min="10" max="10" width="3.88671875" customWidth="1"/>
    <col min="11" max="11" width="19.6640625" customWidth="1"/>
    <col min="12" max="12" width="10.109375" customWidth="1"/>
    <col min="13" max="14" width="17.88671875" customWidth="1"/>
    <col min="15" max="15" width="2.44140625" customWidth="1"/>
  </cols>
  <sheetData>
    <row r="1" spans="1:17">
      <c r="A1" s="82"/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4"/>
      <c r="Q1" s="4"/>
    </row>
    <row r="2" spans="1:17" ht="17.25" thickBot="1">
      <c r="A2" s="4"/>
      <c r="B2" s="4"/>
      <c r="C2" s="4"/>
      <c r="D2" s="4"/>
      <c r="E2" s="4"/>
      <c r="F2" s="62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17" ht="20.25" thickTop="1" thickBot="1">
      <c r="A3" s="4"/>
      <c r="B3" s="20"/>
      <c r="C3" s="19"/>
      <c r="D3" s="19"/>
      <c r="E3" s="19"/>
      <c r="F3" s="63"/>
      <c r="G3" s="19"/>
      <c r="H3" s="19"/>
      <c r="I3" s="19"/>
      <c r="J3" s="19"/>
      <c r="K3" s="19"/>
      <c r="L3" s="19"/>
      <c r="M3" s="36"/>
      <c r="N3" s="36"/>
      <c r="O3" s="18"/>
      <c r="P3" s="12"/>
      <c r="Q3" s="14"/>
    </row>
    <row r="4" spans="1:17" ht="19.5" thickBot="1">
      <c r="A4" s="4"/>
      <c r="B4" s="6"/>
      <c r="C4" s="12"/>
      <c r="D4" s="83" t="s">
        <v>39</v>
      </c>
      <c r="E4" s="84"/>
      <c r="F4" s="84"/>
      <c r="G4" s="84"/>
      <c r="H4" s="84"/>
      <c r="I4" s="84"/>
      <c r="J4" s="84"/>
      <c r="K4" s="84"/>
      <c r="L4" s="84"/>
      <c r="M4" s="85"/>
      <c r="N4" s="45"/>
      <c r="O4" s="5"/>
      <c r="P4" s="12"/>
      <c r="Q4" s="14"/>
    </row>
    <row r="5" spans="1:17" ht="18.75">
      <c r="A5" s="4"/>
      <c r="B5" s="6"/>
      <c r="C5" s="12"/>
      <c r="D5" s="17"/>
      <c r="E5" s="17"/>
      <c r="F5" s="64"/>
      <c r="G5" s="12"/>
      <c r="H5" s="12"/>
      <c r="I5" s="12"/>
      <c r="J5" s="12"/>
      <c r="K5" s="12"/>
      <c r="L5" s="12"/>
      <c r="M5" s="12"/>
      <c r="N5" s="12"/>
      <c r="O5" s="5"/>
      <c r="P5" s="12"/>
      <c r="Q5" s="14"/>
    </row>
    <row r="6" spans="1:17" ht="19.5">
      <c r="A6" s="4"/>
      <c r="B6" s="6"/>
      <c r="C6" s="12"/>
      <c r="D6" s="17"/>
      <c r="E6" s="17"/>
      <c r="F6" s="64"/>
      <c r="G6" s="73"/>
      <c r="H6" s="21"/>
      <c r="I6" s="16"/>
      <c r="J6" s="13"/>
      <c r="K6" s="12"/>
      <c r="L6" s="12"/>
      <c r="M6" s="12"/>
      <c r="N6" s="12"/>
      <c r="O6" s="5"/>
      <c r="P6" s="12"/>
      <c r="Q6" s="14"/>
    </row>
    <row r="7" spans="1:17" ht="18.75">
      <c r="A7" s="4"/>
      <c r="B7" s="6"/>
      <c r="C7" s="12"/>
      <c r="D7" s="37" t="s">
        <v>6</v>
      </c>
      <c r="E7" s="54" t="s">
        <v>18</v>
      </c>
      <c r="H7" s="21"/>
      <c r="I7" s="15"/>
      <c r="J7" s="16"/>
      <c r="K7" s="86" t="s">
        <v>5</v>
      </c>
      <c r="L7" s="87"/>
      <c r="M7" s="91" t="s">
        <v>36</v>
      </c>
      <c r="N7" s="92"/>
      <c r="O7" s="5"/>
      <c r="P7" s="12"/>
      <c r="Q7" s="14"/>
    </row>
    <row r="8" spans="1:17" ht="18.75">
      <c r="A8" s="4"/>
      <c r="B8" s="6"/>
      <c r="C8" s="12"/>
      <c r="D8" s="37" t="s">
        <v>10</v>
      </c>
      <c r="E8" s="54" t="s">
        <v>12</v>
      </c>
      <c r="H8" s="22"/>
      <c r="I8" s="16"/>
      <c r="J8" s="15"/>
      <c r="K8" s="39" t="s">
        <v>21</v>
      </c>
      <c r="L8" s="61"/>
      <c r="M8" s="93"/>
      <c r="N8" s="94"/>
      <c r="O8" s="5"/>
      <c r="P8" s="12"/>
      <c r="Q8" s="14"/>
    </row>
    <row r="9" spans="1:17" ht="21" customHeight="1">
      <c r="A9" s="4"/>
      <c r="B9" s="6"/>
      <c r="C9" s="12"/>
      <c r="D9" s="37" t="s">
        <v>24</v>
      </c>
      <c r="E9" s="55" t="s">
        <v>38</v>
      </c>
      <c r="H9" s="23"/>
      <c r="I9" s="12"/>
      <c r="J9" s="13"/>
      <c r="K9" s="95" t="s">
        <v>3</v>
      </c>
      <c r="L9" s="96"/>
      <c r="M9" s="97"/>
      <c r="N9" s="55" t="s">
        <v>2</v>
      </c>
      <c r="O9" s="5"/>
      <c r="P9" s="12"/>
    </row>
    <row r="10" spans="1:17" ht="21.75" customHeight="1">
      <c r="A10" s="4"/>
      <c r="B10" s="6"/>
      <c r="C10" s="12"/>
      <c r="D10" s="38" t="s">
        <v>4</v>
      </c>
      <c r="E10" s="56">
        <v>40268</v>
      </c>
      <c r="H10" s="21"/>
      <c r="I10" s="24"/>
      <c r="J10" s="13"/>
      <c r="K10" s="95" t="s">
        <v>1</v>
      </c>
      <c r="L10" s="98"/>
      <c r="M10" s="99"/>
      <c r="N10" s="57" t="s">
        <v>33</v>
      </c>
      <c r="O10" s="5"/>
      <c r="P10" s="12"/>
    </row>
    <row r="11" spans="1:17" ht="18.75">
      <c r="A11" s="4"/>
      <c r="B11" s="9"/>
      <c r="C11" s="8"/>
      <c r="D11" s="11"/>
      <c r="E11" s="11"/>
      <c r="F11" s="66"/>
      <c r="G11" s="11"/>
      <c r="H11" s="11"/>
      <c r="I11" s="11"/>
      <c r="J11" s="8"/>
      <c r="K11" s="8"/>
      <c r="L11" s="8"/>
      <c r="M11" s="8"/>
      <c r="N11" s="8"/>
      <c r="O11" s="7"/>
      <c r="P11" s="8"/>
    </row>
    <row r="12" spans="1:17" ht="18.75">
      <c r="A12" s="4"/>
      <c r="B12" s="9"/>
      <c r="C12" s="8"/>
      <c r="D12" s="8"/>
      <c r="E12" s="8"/>
      <c r="F12" s="67"/>
      <c r="G12" s="8"/>
      <c r="H12" s="8"/>
      <c r="I12" s="8"/>
      <c r="J12" s="8"/>
      <c r="K12" s="8"/>
      <c r="L12" s="8"/>
      <c r="M12" s="8"/>
      <c r="N12" s="8"/>
      <c r="O12" s="7"/>
      <c r="P12" s="8"/>
    </row>
    <row r="13" spans="1:17" ht="18.75">
      <c r="A13" s="4"/>
      <c r="B13" s="9"/>
      <c r="C13" s="35"/>
      <c r="D13" s="40" t="s">
        <v>22</v>
      </c>
      <c r="E13" s="40" t="s">
        <v>23</v>
      </c>
      <c r="F13" s="40" t="s">
        <v>25</v>
      </c>
      <c r="G13" s="41" t="s">
        <v>7</v>
      </c>
      <c r="H13" s="42" t="s">
        <v>8</v>
      </c>
      <c r="I13" s="88" t="s">
        <v>17</v>
      </c>
      <c r="J13" s="89"/>
      <c r="K13" s="89"/>
      <c r="L13" s="90"/>
      <c r="M13" s="43" t="s">
        <v>9</v>
      </c>
      <c r="N13" s="43" t="s">
        <v>29</v>
      </c>
      <c r="O13" s="7"/>
      <c r="P13" s="8"/>
    </row>
    <row r="14" spans="1:17" ht="18.75">
      <c r="A14" s="4"/>
      <c r="B14" s="9"/>
      <c r="C14" s="27">
        <v>1</v>
      </c>
      <c r="D14" s="60">
        <v>110</v>
      </c>
      <c r="E14" s="60">
        <v>53023</v>
      </c>
      <c r="F14" s="70"/>
      <c r="G14" s="34"/>
      <c r="H14" s="33"/>
      <c r="I14" s="74"/>
      <c r="J14" s="75"/>
      <c r="K14" s="75"/>
      <c r="L14" s="76"/>
      <c r="M14" s="71">
        <v>5805</v>
      </c>
      <c r="N14" s="31"/>
      <c r="O14" s="7"/>
      <c r="P14" s="8"/>
    </row>
    <row r="15" spans="1:17" ht="18.75">
      <c r="A15" s="4"/>
      <c r="B15" s="9"/>
      <c r="C15" s="27">
        <v>2</v>
      </c>
      <c r="D15" s="60">
        <v>344</v>
      </c>
      <c r="E15" s="60">
        <v>46111</v>
      </c>
      <c r="F15" s="70"/>
      <c r="G15" s="34"/>
      <c r="H15" s="33"/>
      <c r="I15" s="74"/>
      <c r="J15" s="75"/>
      <c r="K15" s="75"/>
      <c r="L15" s="76"/>
      <c r="M15" s="71">
        <v>44.9</v>
      </c>
      <c r="N15" s="31"/>
      <c r="O15" s="7"/>
      <c r="P15" s="8"/>
    </row>
    <row r="16" spans="1:17" ht="18.75">
      <c r="A16" s="4"/>
      <c r="B16" s="9"/>
      <c r="C16" s="27">
        <v>3</v>
      </c>
      <c r="D16" s="60">
        <v>104</v>
      </c>
      <c r="E16" s="60">
        <v>46111</v>
      </c>
      <c r="F16" s="70"/>
      <c r="G16" s="34"/>
      <c r="H16" s="33"/>
      <c r="I16" s="32"/>
      <c r="J16" s="58"/>
      <c r="K16" s="58"/>
      <c r="L16" s="59"/>
      <c r="M16" s="71">
        <v>20.329999999999998</v>
      </c>
      <c r="N16" s="31"/>
      <c r="O16" s="7"/>
      <c r="P16" s="8"/>
    </row>
    <row r="17" spans="1:26" ht="18.75">
      <c r="A17" s="4"/>
      <c r="B17" s="9"/>
      <c r="C17" s="27">
        <v>4</v>
      </c>
      <c r="D17" s="60">
        <v>104801</v>
      </c>
      <c r="E17" s="60">
        <v>84121</v>
      </c>
      <c r="F17" s="70"/>
      <c r="G17" s="34"/>
      <c r="H17" s="33"/>
      <c r="I17" s="32"/>
      <c r="J17" s="58"/>
      <c r="K17" s="58"/>
      <c r="L17" s="59"/>
      <c r="M17" s="71">
        <v>25.34</v>
      </c>
      <c r="N17" s="31"/>
      <c r="O17" s="7"/>
      <c r="P17" s="8"/>
    </row>
    <row r="18" spans="1:26" ht="18.75">
      <c r="A18" s="4"/>
      <c r="B18" s="9"/>
      <c r="C18" s="27">
        <v>5</v>
      </c>
      <c r="D18" s="60">
        <v>110</v>
      </c>
      <c r="E18" s="60">
        <v>23039</v>
      </c>
      <c r="F18" s="70">
        <v>387</v>
      </c>
      <c r="G18" s="34"/>
      <c r="H18" s="33"/>
      <c r="I18" s="32"/>
      <c r="J18" s="58"/>
      <c r="K18" s="58"/>
      <c r="L18" s="59"/>
      <c r="M18" s="71">
        <v>1000</v>
      </c>
      <c r="N18" s="31"/>
      <c r="O18" s="7"/>
      <c r="P18" s="8"/>
    </row>
    <row r="19" spans="1:26" ht="18.75">
      <c r="A19" s="4"/>
      <c r="B19" s="9"/>
      <c r="C19" s="27">
        <v>6</v>
      </c>
      <c r="D19" s="60">
        <v>110</v>
      </c>
      <c r="E19" s="60">
        <v>46011</v>
      </c>
      <c r="F19" s="70"/>
      <c r="G19" s="34"/>
      <c r="H19" s="33"/>
      <c r="I19" s="32"/>
      <c r="J19" s="58"/>
      <c r="K19" s="58"/>
      <c r="L19" s="59"/>
      <c r="M19" s="71">
        <v>225800.38</v>
      </c>
      <c r="N19" s="31"/>
      <c r="O19" s="7"/>
      <c r="P19" s="8"/>
      <c r="Z19" s="100"/>
    </row>
    <row r="20" spans="1:26" ht="18.75">
      <c r="A20" s="4"/>
      <c r="B20" s="9"/>
      <c r="C20" s="27">
        <v>7</v>
      </c>
      <c r="D20" s="60">
        <v>110</v>
      </c>
      <c r="E20" s="60">
        <v>46111</v>
      </c>
      <c r="F20" s="70"/>
      <c r="G20" s="34"/>
      <c r="H20" s="33"/>
      <c r="I20" s="32"/>
      <c r="J20" s="58"/>
      <c r="K20" s="58"/>
      <c r="L20" s="59"/>
      <c r="M20" s="71">
        <v>57481.25</v>
      </c>
      <c r="N20" s="31"/>
      <c r="O20" s="7"/>
      <c r="P20" s="8"/>
    </row>
    <row r="21" spans="1:26" ht="18.75">
      <c r="A21" s="4"/>
      <c r="B21" s="9"/>
      <c r="C21" s="27">
        <v>8</v>
      </c>
      <c r="D21" s="60">
        <v>110</v>
      </c>
      <c r="E21" s="60">
        <v>46702</v>
      </c>
      <c r="F21" s="70"/>
      <c r="G21" s="34"/>
      <c r="H21" s="33"/>
      <c r="I21" s="32"/>
      <c r="J21" s="58"/>
      <c r="K21" s="58"/>
      <c r="L21" s="59"/>
      <c r="M21" s="71">
        <v>700</v>
      </c>
      <c r="N21" s="31"/>
      <c r="O21" s="7"/>
      <c r="P21" s="8"/>
    </row>
    <row r="22" spans="1:26" ht="18.75">
      <c r="A22" s="4"/>
      <c r="B22" s="9"/>
      <c r="C22" s="27">
        <v>9</v>
      </c>
      <c r="D22" s="60">
        <v>110</v>
      </c>
      <c r="E22" s="60">
        <v>53023</v>
      </c>
      <c r="F22" s="70"/>
      <c r="G22" s="34"/>
      <c r="H22" s="33"/>
      <c r="I22" s="32"/>
      <c r="J22" s="58"/>
      <c r="K22" s="58"/>
      <c r="L22" s="59"/>
      <c r="M22" s="71">
        <v>67891.520000000004</v>
      </c>
      <c r="N22" s="31"/>
      <c r="O22" s="7"/>
      <c r="P22" s="8"/>
    </row>
    <row r="23" spans="1:26" ht="18.75">
      <c r="A23" s="4"/>
      <c r="B23" s="9"/>
      <c r="C23" s="27">
        <v>10</v>
      </c>
      <c r="D23" s="60">
        <v>115</v>
      </c>
      <c r="E23" s="60">
        <v>23039</v>
      </c>
      <c r="F23" s="70">
        <v>8241</v>
      </c>
      <c r="G23" s="34"/>
      <c r="H23" s="33"/>
      <c r="I23" s="32"/>
      <c r="J23" s="58"/>
      <c r="K23" s="58"/>
      <c r="L23" s="59"/>
      <c r="M23" s="71">
        <v>298.08</v>
      </c>
      <c r="N23" s="31"/>
      <c r="O23" s="7"/>
      <c r="P23" s="8"/>
    </row>
    <row r="24" spans="1:26" ht="18.75">
      <c r="A24" s="4"/>
      <c r="B24" s="9"/>
      <c r="C24" s="27">
        <v>11</v>
      </c>
      <c r="D24" s="60">
        <v>138</v>
      </c>
      <c r="E24" s="60">
        <v>46111</v>
      </c>
      <c r="F24" s="70"/>
      <c r="G24" s="34"/>
      <c r="H24" s="33"/>
      <c r="I24" s="32"/>
      <c r="J24" s="58"/>
      <c r="K24" s="58"/>
      <c r="L24" s="59"/>
      <c r="M24" s="71">
        <v>20.9</v>
      </c>
      <c r="N24" s="31"/>
      <c r="O24" s="7"/>
      <c r="P24" s="8"/>
    </row>
    <row r="25" spans="1:26" ht="18.75">
      <c r="A25" s="4"/>
      <c r="B25" s="9"/>
      <c r="C25" s="27">
        <v>12</v>
      </c>
      <c r="D25" s="60">
        <v>138803</v>
      </c>
      <c r="E25" s="60">
        <v>83021</v>
      </c>
      <c r="F25" s="70"/>
      <c r="G25" s="34"/>
      <c r="H25" s="33"/>
      <c r="I25" s="32"/>
      <c r="J25" s="58"/>
      <c r="K25" s="58"/>
      <c r="L25" s="59"/>
      <c r="M25" s="71">
        <v>88.85</v>
      </c>
      <c r="N25" s="31"/>
      <c r="O25" s="7"/>
      <c r="P25" s="8"/>
    </row>
    <row r="26" spans="1:26" ht="18.75" hidden="1">
      <c r="A26" s="4"/>
      <c r="B26" s="9"/>
      <c r="C26" s="27">
        <v>13</v>
      </c>
      <c r="D26" s="60">
        <v>143</v>
      </c>
      <c r="E26" s="60">
        <v>46111</v>
      </c>
      <c r="F26" s="70"/>
      <c r="G26" s="34"/>
      <c r="H26" s="33"/>
      <c r="I26" s="32"/>
      <c r="J26" s="58"/>
      <c r="K26" s="58"/>
      <c r="L26" s="59"/>
      <c r="M26" s="71">
        <v>26.2</v>
      </c>
      <c r="N26" s="31"/>
      <c r="O26" s="7"/>
      <c r="P26" s="8"/>
    </row>
    <row r="27" spans="1:26" ht="18.75" hidden="1">
      <c r="A27" s="4"/>
      <c r="B27" s="9"/>
      <c r="C27" s="27">
        <v>14</v>
      </c>
      <c r="D27" s="60">
        <v>143801</v>
      </c>
      <c r="E27" s="60">
        <v>84121</v>
      </c>
      <c r="F27" s="70"/>
      <c r="G27" s="34"/>
      <c r="H27" s="33"/>
      <c r="I27" s="32"/>
      <c r="J27" s="58"/>
      <c r="K27" s="58"/>
      <c r="L27" s="59"/>
      <c r="M27" s="71">
        <v>26.55</v>
      </c>
      <c r="N27" s="31"/>
      <c r="O27" s="7"/>
      <c r="P27" s="8"/>
    </row>
    <row r="28" spans="1:26" ht="18.75" hidden="1">
      <c r="A28" s="4"/>
      <c r="B28" s="9"/>
      <c r="C28" s="27">
        <v>15</v>
      </c>
      <c r="D28" s="60">
        <v>143803</v>
      </c>
      <c r="E28" s="60">
        <v>83021</v>
      </c>
      <c r="F28" s="70"/>
      <c r="G28" s="34"/>
      <c r="H28" s="33"/>
      <c r="I28" s="32"/>
      <c r="J28" s="58"/>
      <c r="K28" s="58"/>
      <c r="L28" s="59"/>
      <c r="M28" s="71">
        <v>3443.1</v>
      </c>
      <c r="N28" s="31"/>
      <c r="O28" s="7"/>
      <c r="P28" s="8"/>
    </row>
    <row r="29" spans="1:26" ht="18.75" hidden="1">
      <c r="A29" s="4"/>
      <c r="B29" s="9"/>
      <c r="C29" s="27">
        <v>16</v>
      </c>
      <c r="D29" s="60">
        <v>143803</v>
      </c>
      <c r="E29" s="60">
        <v>83061</v>
      </c>
      <c r="F29" s="70"/>
      <c r="G29" s="34"/>
      <c r="H29" s="33"/>
      <c r="I29" s="32"/>
      <c r="J29" s="58"/>
      <c r="K29" s="58"/>
      <c r="L29" s="59"/>
      <c r="M29" s="71">
        <v>88.85</v>
      </c>
      <c r="N29" s="31"/>
      <c r="O29" s="7"/>
      <c r="P29" s="8"/>
    </row>
    <row r="30" spans="1:26" ht="18.75" hidden="1">
      <c r="A30" s="4"/>
      <c r="B30" s="9"/>
      <c r="C30" s="27">
        <v>17</v>
      </c>
      <c r="D30" s="60">
        <v>166</v>
      </c>
      <c r="E30" s="60">
        <v>46111</v>
      </c>
      <c r="F30" s="70"/>
      <c r="G30" s="34"/>
      <c r="H30" s="33"/>
      <c r="I30" s="32"/>
      <c r="J30" s="58"/>
      <c r="K30" s="58"/>
      <c r="L30" s="59"/>
      <c r="M30" s="71">
        <v>10.26</v>
      </c>
      <c r="N30" s="31"/>
      <c r="O30" s="7"/>
      <c r="P30" s="8"/>
    </row>
    <row r="31" spans="1:26" ht="18.75" hidden="1">
      <c r="A31" s="4"/>
      <c r="B31" s="9"/>
      <c r="C31" s="27">
        <v>18</v>
      </c>
      <c r="D31" s="60">
        <v>166801</v>
      </c>
      <c r="E31" s="60">
        <v>84121</v>
      </c>
      <c r="F31" s="70"/>
      <c r="G31" s="34"/>
      <c r="H31" s="33"/>
      <c r="I31" s="32"/>
      <c r="J31" s="58"/>
      <c r="K31" s="58"/>
      <c r="L31" s="59"/>
      <c r="M31" s="71">
        <v>36.83</v>
      </c>
      <c r="N31" s="31"/>
      <c r="O31" s="7"/>
      <c r="P31" s="8"/>
    </row>
    <row r="32" spans="1:26" ht="18.75" hidden="1">
      <c r="A32" s="4"/>
      <c r="B32" s="9"/>
      <c r="C32" s="27">
        <v>19</v>
      </c>
      <c r="D32" s="60">
        <v>166803</v>
      </c>
      <c r="E32" s="60">
        <v>83061</v>
      </c>
      <c r="F32" s="70"/>
      <c r="G32" s="34"/>
      <c r="H32" s="33"/>
      <c r="I32" s="32"/>
      <c r="J32" s="58"/>
      <c r="K32" s="58"/>
      <c r="L32" s="59"/>
      <c r="M32" s="71">
        <v>177.7</v>
      </c>
      <c r="N32" s="31"/>
      <c r="O32" s="7"/>
      <c r="P32" s="8"/>
    </row>
    <row r="33" spans="1:16" ht="18.75" hidden="1">
      <c r="A33" s="4"/>
      <c r="B33" s="9"/>
      <c r="C33" s="27">
        <v>20</v>
      </c>
      <c r="D33" s="60">
        <v>179</v>
      </c>
      <c r="E33" s="60">
        <v>46111</v>
      </c>
      <c r="F33" s="70"/>
      <c r="G33" s="34"/>
      <c r="H33" s="33"/>
      <c r="I33" s="32"/>
      <c r="J33" s="58"/>
      <c r="K33" s="58"/>
      <c r="L33" s="59"/>
      <c r="M33" s="71">
        <v>5.96</v>
      </c>
      <c r="N33" s="31"/>
      <c r="O33" s="7"/>
      <c r="P33" s="8"/>
    </row>
    <row r="34" spans="1:16" ht="18.75" hidden="1">
      <c r="A34" s="4"/>
      <c r="B34" s="9"/>
      <c r="C34" s="27">
        <v>21</v>
      </c>
      <c r="D34" s="60">
        <v>179803</v>
      </c>
      <c r="E34" s="60">
        <v>83061</v>
      </c>
      <c r="F34" s="70"/>
      <c r="G34" s="34"/>
      <c r="H34" s="33"/>
      <c r="I34" s="32"/>
      <c r="J34" s="58"/>
      <c r="K34" s="58"/>
      <c r="L34" s="59"/>
      <c r="M34" s="71">
        <v>88.85</v>
      </c>
      <c r="N34" s="31"/>
      <c r="O34" s="7"/>
      <c r="P34" s="8"/>
    </row>
    <row r="35" spans="1:16" ht="18.75" hidden="1">
      <c r="A35" s="4"/>
      <c r="B35" s="9"/>
      <c r="C35" s="27">
        <v>22</v>
      </c>
      <c r="D35" s="60">
        <v>189860</v>
      </c>
      <c r="E35" s="60">
        <v>84121</v>
      </c>
      <c r="F35" s="70"/>
      <c r="G35" s="34"/>
      <c r="H35" s="33"/>
      <c r="I35" s="32"/>
      <c r="J35" s="58"/>
      <c r="K35" s="58"/>
      <c r="L35" s="59"/>
      <c r="M35" s="71">
        <v>19.239999999999998</v>
      </c>
      <c r="N35" s="31"/>
      <c r="O35" s="7"/>
      <c r="P35" s="8"/>
    </row>
    <row r="36" spans="1:16" ht="18.75" hidden="1">
      <c r="A36" s="4"/>
      <c r="B36" s="9"/>
      <c r="C36" s="27">
        <v>23</v>
      </c>
      <c r="D36" s="60">
        <v>194</v>
      </c>
      <c r="E36" s="60">
        <v>46111</v>
      </c>
      <c r="F36" s="70"/>
      <c r="G36" s="34"/>
      <c r="H36" s="33"/>
      <c r="I36" s="32"/>
      <c r="J36" s="58"/>
      <c r="K36" s="58"/>
      <c r="L36" s="59"/>
      <c r="M36" s="71">
        <v>125.28</v>
      </c>
      <c r="N36" s="31"/>
      <c r="O36" s="7"/>
      <c r="P36" s="8"/>
    </row>
    <row r="37" spans="1:16" ht="18.75" hidden="1">
      <c r="A37" s="4"/>
      <c r="B37" s="9"/>
      <c r="C37" s="27">
        <v>24</v>
      </c>
      <c r="D37" s="60">
        <v>227803</v>
      </c>
      <c r="E37" s="60">
        <v>83021</v>
      </c>
      <c r="F37" s="70"/>
      <c r="G37" s="34"/>
      <c r="H37" s="33"/>
      <c r="I37" s="32"/>
      <c r="J37" s="58"/>
      <c r="K37" s="58"/>
      <c r="L37" s="59"/>
      <c r="M37" s="71">
        <v>830.85</v>
      </c>
      <c r="N37" s="31"/>
      <c r="O37" s="7"/>
      <c r="P37" s="8"/>
    </row>
    <row r="38" spans="1:16" ht="18.75" hidden="1">
      <c r="A38" s="4"/>
      <c r="B38" s="9"/>
      <c r="C38" s="27">
        <v>25</v>
      </c>
      <c r="D38" s="60">
        <v>227803</v>
      </c>
      <c r="E38" s="60">
        <v>83061</v>
      </c>
      <c r="F38" s="70"/>
      <c r="G38" s="34"/>
      <c r="H38" s="33"/>
      <c r="I38" s="32"/>
      <c r="J38" s="58"/>
      <c r="K38" s="58"/>
      <c r="L38" s="59"/>
      <c r="M38" s="71">
        <v>302.3</v>
      </c>
      <c r="N38" s="31"/>
      <c r="O38" s="7"/>
      <c r="P38" s="8"/>
    </row>
    <row r="39" spans="1:16" ht="18.75" hidden="1">
      <c r="A39" s="4"/>
      <c r="B39" s="9"/>
      <c r="C39" s="27">
        <v>26</v>
      </c>
      <c r="D39" s="60">
        <v>231</v>
      </c>
      <c r="E39" s="60">
        <v>53011</v>
      </c>
      <c r="F39" s="70"/>
      <c r="G39" s="34"/>
      <c r="H39" s="33"/>
      <c r="I39" s="32"/>
      <c r="J39" s="58"/>
      <c r="K39" s="58"/>
      <c r="L39" s="59"/>
      <c r="M39" s="71">
        <v>29342.77</v>
      </c>
      <c r="N39" s="31"/>
      <c r="O39" s="7"/>
      <c r="P39" s="8"/>
    </row>
    <row r="40" spans="1:16" ht="18.75" hidden="1">
      <c r="A40" s="4"/>
      <c r="B40" s="9"/>
      <c r="C40" s="27">
        <v>27</v>
      </c>
      <c r="D40" s="60">
        <v>231</v>
      </c>
      <c r="E40" s="60">
        <v>53026</v>
      </c>
      <c r="F40" s="70"/>
      <c r="G40" s="34"/>
      <c r="H40" s="33"/>
      <c r="I40" s="32"/>
      <c r="J40" s="58"/>
      <c r="K40" s="58"/>
      <c r="L40" s="59"/>
      <c r="M40" s="71">
        <v>15344.15</v>
      </c>
      <c r="N40" s="31"/>
      <c r="O40" s="7"/>
      <c r="P40" s="8"/>
    </row>
    <row r="41" spans="1:16" ht="18.75" hidden="1">
      <c r="A41" s="4"/>
      <c r="B41" s="9"/>
      <c r="C41" s="27">
        <v>28</v>
      </c>
      <c r="D41" s="60">
        <v>231100</v>
      </c>
      <c r="E41" s="60">
        <v>54121</v>
      </c>
      <c r="F41" s="70"/>
      <c r="G41" s="34"/>
      <c r="H41" s="33"/>
      <c r="I41" s="32"/>
      <c r="J41" s="58"/>
      <c r="K41" s="58"/>
      <c r="L41" s="59"/>
      <c r="M41" s="71">
        <v>28.06</v>
      </c>
      <c r="N41" s="31"/>
      <c r="O41" s="7"/>
      <c r="P41" s="8"/>
    </row>
    <row r="42" spans="1:16" ht="18.75" hidden="1">
      <c r="A42" s="4"/>
      <c r="B42" s="9"/>
      <c r="C42" s="27">
        <v>29</v>
      </c>
      <c r="D42" s="60">
        <v>232</v>
      </c>
      <c r="E42" s="60">
        <v>53026</v>
      </c>
      <c r="F42" s="70"/>
      <c r="G42" s="34"/>
      <c r="H42" s="33"/>
      <c r="I42" s="32"/>
      <c r="J42" s="58"/>
      <c r="K42" s="58"/>
      <c r="L42" s="59"/>
      <c r="M42" s="71">
        <v>762.3</v>
      </c>
      <c r="N42" s="31"/>
      <c r="O42" s="7"/>
      <c r="P42" s="8"/>
    </row>
    <row r="43" spans="1:16" ht="18.75" hidden="1">
      <c r="A43" s="4"/>
      <c r="B43" s="9"/>
      <c r="C43" s="27">
        <v>30</v>
      </c>
      <c r="D43" s="60">
        <v>240</v>
      </c>
      <c r="E43" s="60">
        <v>46111</v>
      </c>
      <c r="F43" s="70"/>
      <c r="G43" s="34"/>
      <c r="H43" s="33"/>
      <c r="I43" s="32"/>
      <c r="J43" s="58"/>
      <c r="K43" s="58"/>
      <c r="L43" s="59"/>
      <c r="M43" s="71">
        <v>5.75</v>
      </c>
      <c r="N43" s="31"/>
      <c r="O43" s="7"/>
      <c r="P43" s="8"/>
    </row>
    <row r="44" spans="1:16" ht="18.75" hidden="1">
      <c r="A44" s="4"/>
      <c r="B44" s="9"/>
      <c r="C44" s="27">
        <v>31</v>
      </c>
      <c r="D44" s="60">
        <v>240803</v>
      </c>
      <c r="E44" s="60">
        <v>83061</v>
      </c>
      <c r="F44" s="70"/>
      <c r="G44" s="34"/>
      <c r="H44" s="33"/>
      <c r="I44" s="32"/>
      <c r="J44" s="58"/>
      <c r="K44" s="58"/>
      <c r="L44" s="59"/>
      <c r="M44" s="71">
        <v>118.36</v>
      </c>
      <c r="N44" s="31"/>
      <c r="O44" s="7"/>
      <c r="P44" s="8"/>
    </row>
    <row r="45" spans="1:16" ht="18.75" hidden="1">
      <c r="A45" s="4"/>
      <c r="B45" s="9"/>
      <c r="C45" s="27">
        <v>32</v>
      </c>
      <c r="D45" s="60">
        <v>248</v>
      </c>
      <c r="E45" s="60">
        <v>53014</v>
      </c>
      <c r="F45" s="70"/>
      <c r="G45" s="34"/>
      <c r="H45" s="33"/>
      <c r="I45" s="32"/>
      <c r="J45" s="58"/>
      <c r="K45" s="58"/>
      <c r="L45" s="59"/>
      <c r="M45" s="71">
        <v>300</v>
      </c>
      <c r="N45" s="31"/>
      <c r="O45" s="7"/>
      <c r="P45" s="8"/>
    </row>
    <row r="46" spans="1:16" ht="18.75" hidden="1">
      <c r="A46" s="4"/>
      <c r="B46" s="9"/>
      <c r="C46" s="27">
        <v>33</v>
      </c>
      <c r="D46" s="60">
        <v>248</v>
      </c>
      <c r="E46" s="60">
        <v>53021</v>
      </c>
      <c r="F46" s="70"/>
      <c r="G46" s="34"/>
      <c r="H46" s="33"/>
      <c r="I46" s="32"/>
      <c r="J46" s="58"/>
      <c r="K46" s="58"/>
      <c r="L46" s="59"/>
      <c r="M46" s="71">
        <v>330.51</v>
      </c>
      <c r="N46" s="31"/>
      <c r="O46" s="7"/>
      <c r="P46" s="8"/>
    </row>
    <row r="47" spans="1:16" ht="18.75" hidden="1">
      <c r="A47" s="4"/>
      <c r="B47" s="9"/>
      <c r="C47" s="27">
        <v>34</v>
      </c>
      <c r="D47" s="60">
        <v>248100</v>
      </c>
      <c r="E47" s="60">
        <v>54121</v>
      </c>
      <c r="F47" s="70"/>
      <c r="G47" s="34"/>
      <c r="H47" s="33"/>
      <c r="I47" s="32"/>
      <c r="J47" s="58"/>
      <c r="K47" s="58"/>
      <c r="L47" s="59"/>
      <c r="M47" s="71">
        <v>204.34</v>
      </c>
      <c r="N47" s="31"/>
      <c r="O47" s="7"/>
      <c r="P47" s="8"/>
    </row>
    <row r="48" spans="1:16" ht="18.75" hidden="1">
      <c r="A48" s="4"/>
      <c r="B48" s="9"/>
      <c r="C48" s="27">
        <v>35</v>
      </c>
      <c r="D48" s="60">
        <v>248509</v>
      </c>
      <c r="E48" s="60">
        <v>54121</v>
      </c>
      <c r="F48" s="70"/>
      <c r="G48" s="34"/>
      <c r="H48" s="33"/>
      <c r="I48" s="32"/>
      <c r="J48" s="58"/>
      <c r="K48" s="58"/>
      <c r="L48" s="59"/>
      <c r="M48" s="71">
        <v>21.16</v>
      </c>
      <c r="N48" s="31"/>
      <c r="O48" s="7"/>
      <c r="P48" s="8"/>
    </row>
    <row r="49" spans="1:16" ht="18.75" hidden="1">
      <c r="A49" s="4"/>
      <c r="B49" s="9"/>
      <c r="C49" s="27">
        <v>36</v>
      </c>
      <c r="D49" s="60">
        <v>264801</v>
      </c>
      <c r="E49" s="60">
        <v>84121</v>
      </c>
      <c r="F49" s="70"/>
      <c r="G49" s="34"/>
      <c r="H49" s="33"/>
      <c r="I49" s="32"/>
      <c r="J49" s="58"/>
      <c r="K49" s="58"/>
      <c r="L49" s="59"/>
      <c r="M49" s="71">
        <v>44.41</v>
      </c>
      <c r="N49" s="31"/>
      <c r="O49" s="7"/>
      <c r="P49" s="8"/>
    </row>
    <row r="50" spans="1:16" ht="18.75" hidden="1">
      <c r="A50" s="4"/>
      <c r="B50" s="9"/>
      <c r="C50" s="27">
        <v>37</v>
      </c>
      <c r="D50" s="60">
        <v>267</v>
      </c>
      <c r="E50" s="60">
        <v>46111</v>
      </c>
      <c r="F50" s="70"/>
      <c r="G50" s="34"/>
      <c r="H50" s="33"/>
      <c r="I50" s="32"/>
      <c r="J50" s="58"/>
      <c r="K50" s="58"/>
      <c r="L50" s="59"/>
      <c r="M50" s="71">
        <v>32.43</v>
      </c>
      <c r="N50" s="31"/>
      <c r="O50" s="7"/>
      <c r="P50" s="8"/>
    </row>
    <row r="51" spans="1:16" ht="18.75" hidden="1">
      <c r="A51" s="4"/>
      <c r="B51" s="9"/>
      <c r="C51" s="27">
        <v>38</v>
      </c>
      <c r="D51" s="60">
        <v>269</v>
      </c>
      <c r="E51" s="60">
        <v>46111</v>
      </c>
      <c r="F51" s="70"/>
      <c r="G51" s="34"/>
      <c r="H51" s="33"/>
      <c r="I51" s="32"/>
      <c r="J51" s="58"/>
      <c r="K51" s="58"/>
      <c r="L51" s="59"/>
      <c r="M51" s="71">
        <v>8.17</v>
      </c>
      <c r="N51" s="31"/>
      <c r="O51" s="7"/>
      <c r="P51" s="8"/>
    </row>
    <row r="52" spans="1:16" ht="18.75" hidden="1">
      <c r="A52" s="4"/>
      <c r="B52" s="9"/>
      <c r="C52" s="27">
        <v>39</v>
      </c>
      <c r="D52" s="60">
        <v>269801</v>
      </c>
      <c r="E52" s="60">
        <v>84121</v>
      </c>
      <c r="F52" s="70"/>
      <c r="G52" s="34"/>
      <c r="H52" s="33"/>
      <c r="I52" s="32"/>
      <c r="J52" s="58"/>
      <c r="K52" s="58"/>
      <c r="L52" s="59"/>
      <c r="M52" s="71">
        <v>35.049999999999997</v>
      </c>
      <c r="N52" s="31"/>
      <c r="O52" s="7"/>
      <c r="P52" s="8"/>
    </row>
    <row r="53" spans="1:16" ht="18.75" hidden="1">
      <c r="A53" s="4"/>
      <c r="B53" s="9"/>
      <c r="C53" s="27">
        <v>40</v>
      </c>
      <c r="D53" s="60">
        <v>271803</v>
      </c>
      <c r="E53" s="60">
        <v>83061</v>
      </c>
      <c r="F53" s="70"/>
      <c r="G53" s="34"/>
      <c r="H53" s="33"/>
      <c r="I53" s="32"/>
      <c r="J53" s="58"/>
      <c r="K53" s="58"/>
      <c r="L53" s="59"/>
      <c r="M53" s="71">
        <v>125.44</v>
      </c>
      <c r="N53" s="31"/>
      <c r="O53" s="7"/>
      <c r="P53" s="8"/>
    </row>
    <row r="54" spans="1:16" ht="18.75" hidden="1">
      <c r="A54" s="4"/>
      <c r="B54" s="9"/>
      <c r="C54" s="27">
        <v>41</v>
      </c>
      <c r="D54" s="60">
        <v>272</v>
      </c>
      <c r="E54" s="60">
        <v>46111</v>
      </c>
      <c r="F54" s="70"/>
      <c r="G54" s="34"/>
      <c r="H54" s="33"/>
      <c r="I54" s="32"/>
      <c r="J54" s="58"/>
      <c r="K54" s="58"/>
      <c r="L54" s="59"/>
      <c r="M54" s="71">
        <v>26.94</v>
      </c>
      <c r="N54" s="31"/>
      <c r="O54" s="7"/>
      <c r="P54" s="8"/>
    </row>
    <row r="55" spans="1:16" ht="18.75" hidden="1">
      <c r="A55" s="4"/>
      <c r="B55" s="9"/>
      <c r="C55" s="27">
        <v>42</v>
      </c>
      <c r="D55" s="60">
        <v>272801</v>
      </c>
      <c r="E55" s="60">
        <v>84121</v>
      </c>
      <c r="F55" s="70"/>
      <c r="G55" s="34"/>
      <c r="H55" s="33"/>
      <c r="I55" s="32"/>
      <c r="J55" s="58"/>
      <c r="K55" s="58"/>
      <c r="L55" s="59"/>
      <c r="M55" s="71">
        <v>86.24</v>
      </c>
      <c r="N55" s="31"/>
      <c r="O55" s="7"/>
      <c r="P55" s="8"/>
    </row>
    <row r="56" spans="1:16" ht="18.75" hidden="1">
      <c r="A56" s="4"/>
      <c r="B56" s="9"/>
      <c r="C56" s="27">
        <v>43</v>
      </c>
      <c r="D56" s="60">
        <v>272803</v>
      </c>
      <c r="E56" s="60">
        <v>83061</v>
      </c>
      <c r="F56" s="70"/>
      <c r="G56" s="34"/>
      <c r="H56" s="33"/>
      <c r="I56" s="32"/>
      <c r="J56" s="58"/>
      <c r="K56" s="58"/>
      <c r="L56" s="59"/>
      <c r="M56" s="71">
        <v>263.64999999999998</v>
      </c>
      <c r="N56" s="31"/>
      <c r="O56" s="7"/>
      <c r="P56" s="8"/>
    </row>
    <row r="57" spans="1:16" ht="18.75" hidden="1">
      <c r="A57" s="4"/>
      <c r="B57" s="9"/>
      <c r="C57" s="27">
        <v>44</v>
      </c>
      <c r="D57" s="60">
        <v>275</v>
      </c>
      <c r="E57" s="60">
        <v>46113</v>
      </c>
      <c r="F57" s="70">
        <v>300</v>
      </c>
      <c r="G57" s="34"/>
      <c r="H57" s="33"/>
      <c r="I57" s="32"/>
      <c r="J57" s="58"/>
      <c r="K57" s="58"/>
      <c r="L57" s="59"/>
      <c r="M57" s="71">
        <v>2467.16</v>
      </c>
      <c r="N57" s="31"/>
      <c r="O57" s="7"/>
      <c r="P57" s="8"/>
    </row>
    <row r="58" spans="1:16" ht="18.75" hidden="1">
      <c r="A58" s="4"/>
      <c r="B58" s="9"/>
      <c r="C58" s="27">
        <v>45</v>
      </c>
      <c r="D58" s="60">
        <v>275509</v>
      </c>
      <c r="E58" s="60">
        <v>54121</v>
      </c>
      <c r="F58" s="70"/>
      <c r="G58" s="34"/>
      <c r="H58" s="33"/>
      <c r="I58" s="32"/>
      <c r="J58" s="58"/>
      <c r="K58" s="58"/>
      <c r="L58" s="59"/>
      <c r="M58" s="71">
        <v>494.9</v>
      </c>
      <c r="N58" s="31"/>
      <c r="O58" s="7"/>
      <c r="P58" s="8"/>
    </row>
    <row r="59" spans="1:16" ht="18.75" hidden="1">
      <c r="A59" s="4"/>
      <c r="B59" s="9"/>
      <c r="C59" s="27">
        <v>46</v>
      </c>
      <c r="D59" s="60">
        <v>276524</v>
      </c>
      <c r="E59" s="60">
        <v>54121</v>
      </c>
      <c r="F59" s="70"/>
      <c r="G59" s="34"/>
      <c r="H59" s="33"/>
      <c r="I59" s="32"/>
      <c r="J59" s="58"/>
      <c r="K59" s="58"/>
      <c r="L59" s="59"/>
      <c r="M59" s="71">
        <v>5.08</v>
      </c>
      <c r="N59" s="31"/>
      <c r="O59" s="7"/>
      <c r="P59" s="8"/>
    </row>
    <row r="60" spans="1:16" ht="18.75" hidden="1">
      <c r="A60" s="4"/>
      <c r="B60" s="9"/>
      <c r="C60" s="27">
        <v>47</v>
      </c>
      <c r="D60" s="60">
        <v>278522</v>
      </c>
      <c r="E60" s="60">
        <v>54121</v>
      </c>
      <c r="F60" s="70"/>
      <c r="G60" s="34"/>
      <c r="H60" s="33"/>
      <c r="I60" s="32"/>
      <c r="J60" s="58"/>
      <c r="K60" s="58"/>
      <c r="L60" s="59"/>
      <c r="M60" s="71">
        <v>6.39</v>
      </c>
      <c r="N60" s="31"/>
      <c r="O60" s="7"/>
      <c r="P60" s="8"/>
    </row>
    <row r="61" spans="1:16" ht="18.75" hidden="1">
      <c r="A61" s="4"/>
      <c r="B61" s="9"/>
      <c r="C61" s="27">
        <v>48</v>
      </c>
      <c r="D61" s="60">
        <v>299</v>
      </c>
      <c r="E61" s="60">
        <v>46111</v>
      </c>
      <c r="F61" s="70"/>
      <c r="G61" s="34"/>
      <c r="H61" s="33"/>
      <c r="I61" s="32"/>
      <c r="J61" s="58"/>
      <c r="K61" s="58"/>
      <c r="L61" s="59"/>
      <c r="M61" s="71">
        <v>14326.44</v>
      </c>
      <c r="N61" s="31"/>
      <c r="O61" s="7"/>
      <c r="P61" s="8"/>
    </row>
    <row r="62" spans="1:16" ht="18.75" hidden="1">
      <c r="A62" s="4"/>
      <c r="B62" s="9"/>
      <c r="C62" s="27">
        <v>49</v>
      </c>
      <c r="D62" s="60">
        <v>299</v>
      </c>
      <c r="E62" s="60">
        <v>53014</v>
      </c>
      <c r="F62" s="70"/>
      <c r="G62" s="34"/>
      <c r="H62" s="33"/>
      <c r="I62" s="32"/>
      <c r="J62" s="58"/>
      <c r="K62" s="58"/>
      <c r="L62" s="59"/>
      <c r="M62" s="71">
        <v>833</v>
      </c>
      <c r="N62" s="31"/>
      <c r="O62" s="7"/>
      <c r="P62" s="8"/>
    </row>
    <row r="63" spans="1:16" ht="18.75" hidden="1">
      <c r="A63" s="4"/>
      <c r="B63" s="9"/>
      <c r="C63" s="27">
        <v>50</v>
      </c>
      <c r="D63" s="60">
        <v>299310</v>
      </c>
      <c r="E63" s="60">
        <v>54121</v>
      </c>
      <c r="F63" s="70"/>
      <c r="G63" s="34"/>
      <c r="H63" s="33"/>
      <c r="I63" s="32"/>
      <c r="J63" s="58"/>
      <c r="K63" s="58"/>
      <c r="L63" s="59"/>
      <c r="M63" s="71">
        <v>246.67</v>
      </c>
      <c r="N63" s="31"/>
      <c r="O63" s="7"/>
      <c r="P63" s="8"/>
    </row>
    <row r="64" spans="1:16" ht="18.75" hidden="1">
      <c r="A64" s="4"/>
      <c r="B64" s="9"/>
      <c r="C64" s="27">
        <v>51</v>
      </c>
      <c r="D64" s="60">
        <v>300</v>
      </c>
      <c r="E64" s="60">
        <v>53062</v>
      </c>
      <c r="F64" s="70"/>
      <c r="G64" s="34"/>
      <c r="H64" s="33"/>
      <c r="I64" s="32"/>
      <c r="J64" s="58"/>
      <c r="K64" s="58"/>
      <c r="L64" s="59"/>
      <c r="M64" s="71">
        <v>39848.22</v>
      </c>
      <c r="N64" s="31"/>
      <c r="O64" s="7"/>
      <c r="P64" s="8"/>
    </row>
    <row r="65" spans="1:16" ht="18.75" hidden="1">
      <c r="A65" s="4"/>
      <c r="B65" s="9"/>
      <c r="C65" s="27">
        <v>52</v>
      </c>
      <c r="D65" s="60">
        <v>302801</v>
      </c>
      <c r="E65" s="60">
        <v>84121</v>
      </c>
      <c r="F65" s="70"/>
      <c r="G65" s="34"/>
      <c r="H65" s="33"/>
      <c r="I65" s="32"/>
      <c r="J65" s="58"/>
      <c r="K65" s="58"/>
      <c r="L65" s="59"/>
      <c r="M65" s="71">
        <v>5.33</v>
      </c>
      <c r="N65" s="31"/>
      <c r="O65" s="7"/>
      <c r="P65" s="8"/>
    </row>
    <row r="66" spans="1:16" ht="18.75" hidden="1">
      <c r="A66" s="4"/>
      <c r="B66" s="9"/>
      <c r="C66" s="27">
        <v>53</v>
      </c>
      <c r="D66" s="60">
        <v>302803</v>
      </c>
      <c r="E66" s="60">
        <v>83061</v>
      </c>
      <c r="F66" s="70"/>
      <c r="G66" s="34"/>
      <c r="H66" s="33"/>
      <c r="I66" s="32"/>
      <c r="J66" s="58"/>
      <c r="K66" s="58"/>
      <c r="L66" s="59"/>
      <c r="M66" s="71">
        <v>91.56</v>
      </c>
      <c r="N66" s="31"/>
      <c r="O66" s="7"/>
      <c r="P66" s="8"/>
    </row>
    <row r="67" spans="1:16" ht="18.75" hidden="1">
      <c r="A67" s="4"/>
      <c r="B67" s="9"/>
      <c r="C67" s="27">
        <v>54</v>
      </c>
      <c r="D67" s="60">
        <v>305</v>
      </c>
      <c r="E67" s="60">
        <v>46111</v>
      </c>
      <c r="F67" s="70"/>
      <c r="G67" s="34"/>
      <c r="H67" s="33"/>
      <c r="I67" s="32"/>
      <c r="J67" s="58"/>
      <c r="K67" s="58"/>
      <c r="L67" s="59"/>
      <c r="M67" s="71">
        <v>16.739999999999998</v>
      </c>
      <c r="N67" s="31"/>
      <c r="O67" s="7"/>
      <c r="P67" s="8"/>
    </row>
    <row r="68" spans="1:16" ht="18.75" hidden="1">
      <c r="A68" s="4"/>
      <c r="B68" s="9"/>
      <c r="C68" s="27">
        <v>55</v>
      </c>
      <c r="D68" s="60">
        <v>305801</v>
      </c>
      <c r="E68" s="60">
        <v>84121</v>
      </c>
      <c r="F68" s="70"/>
      <c r="G68" s="34"/>
      <c r="H68" s="33"/>
      <c r="I68" s="32"/>
      <c r="J68" s="58"/>
      <c r="K68" s="58"/>
      <c r="L68" s="59"/>
      <c r="M68" s="71">
        <v>110.08</v>
      </c>
      <c r="N68" s="31"/>
      <c r="O68" s="7"/>
      <c r="P68" s="8"/>
    </row>
    <row r="69" spans="1:16" ht="18.75" hidden="1">
      <c r="A69" s="4"/>
      <c r="B69" s="9"/>
      <c r="C69" s="27">
        <v>56</v>
      </c>
      <c r="D69" s="60">
        <v>305803</v>
      </c>
      <c r="E69" s="60">
        <v>83021</v>
      </c>
      <c r="F69" s="70"/>
      <c r="G69" s="34"/>
      <c r="H69" s="33"/>
      <c r="I69" s="32"/>
      <c r="J69" s="58"/>
      <c r="K69" s="58"/>
      <c r="L69" s="59"/>
      <c r="M69" s="71">
        <v>88.69</v>
      </c>
      <c r="N69" s="31"/>
      <c r="O69" s="7"/>
      <c r="P69" s="8"/>
    </row>
    <row r="70" spans="1:16" ht="18.75" hidden="1">
      <c r="A70" s="4"/>
      <c r="B70" s="9"/>
      <c r="C70" s="27">
        <v>57</v>
      </c>
      <c r="D70" s="60">
        <v>305803</v>
      </c>
      <c r="E70" s="60">
        <v>83061</v>
      </c>
      <c r="F70" s="70"/>
      <c r="G70" s="34"/>
      <c r="H70" s="33"/>
      <c r="I70" s="32"/>
      <c r="J70" s="58"/>
      <c r="K70" s="58"/>
      <c r="L70" s="59"/>
      <c r="M70" s="71">
        <v>88.69</v>
      </c>
      <c r="N70" s="31"/>
      <c r="O70" s="7"/>
      <c r="P70" s="8"/>
    </row>
    <row r="71" spans="1:16" ht="18.75" hidden="1">
      <c r="A71" s="4"/>
      <c r="B71" s="9"/>
      <c r="C71" s="27">
        <v>58</v>
      </c>
      <c r="D71" s="60">
        <v>308</v>
      </c>
      <c r="E71" s="60">
        <v>46111</v>
      </c>
      <c r="F71" s="70"/>
      <c r="G71" s="34"/>
      <c r="H71" s="33"/>
      <c r="I71" s="32"/>
      <c r="J71" s="58"/>
      <c r="K71" s="58"/>
      <c r="L71" s="59"/>
      <c r="M71" s="71">
        <v>29.74</v>
      </c>
      <c r="N71" s="31"/>
      <c r="O71" s="7"/>
      <c r="P71" s="8"/>
    </row>
    <row r="72" spans="1:16" ht="18.75" hidden="1">
      <c r="A72" s="4"/>
      <c r="B72" s="9"/>
      <c r="C72" s="27">
        <v>59</v>
      </c>
      <c r="D72" s="60">
        <v>308801</v>
      </c>
      <c r="E72" s="60">
        <v>84121</v>
      </c>
      <c r="F72" s="70"/>
      <c r="G72" s="34"/>
      <c r="H72" s="33"/>
      <c r="I72" s="32"/>
      <c r="J72" s="58"/>
      <c r="K72" s="58"/>
      <c r="L72" s="59"/>
      <c r="M72" s="71">
        <v>33.46</v>
      </c>
      <c r="N72" s="31"/>
      <c r="O72" s="7"/>
      <c r="P72" s="8"/>
    </row>
    <row r="73" spans="1:16" ht="18.75" hidden="1">
      <c r="A73" s="4"/>
      <c r="B73" s="9"/>
      <c r="C73" s="27">
        <v>60</v>
      </c>
      <c r="D73" s="60">
        <v>308803</v>
      </c>
      <c r="E73" s="60">
        <v>83021</v>
      </c>
      <c r="F73" s="70"/>
      <c r="G73" s="34"/>
      <c r="H73" s="33"/>
      <c r="I73" s="32"/>
      <c r="J73" s="58"/>
      <c r="K73" s="58"/>
      <c r="L73" s="59"/>
      <c r="M73" s="71">
        <v>78</v>
      </c>
      <c r="N73" s="31"/>
      <c r="O73" s="7"/>
      <c r="P73" s="8"/>
    </row>
    <row r="74" spans="1:16" ht="18.75" hidden="1">
      <c r="A74" s="4"/>
      <c r="B74" s="9"/>
      <c r="C74" s="27">
        <v>61</v>
      </c>
      <c r="D74" s="60">
        <v>308803</v>
      </c>
      <c r="E74" s="60">
        <v>83061</v>
      </c>
      <c r="F74" s="70"/>
      <c r="G74" s="34"/>
      <c r="H74" s="33"/>
      <c r="I74" s="32"/>
      <c r="J74" s="58"/>
      <c r="K74" s="58"/>
      <c r="L74" s="59"/>
      <c r="M74" s="71">
        <v>198.65</v>
      </c>
      <c r="N74" s="31"/>
      <c r="O74" s="7"/>
      <c r="P74" s="8"/>
    </row>
    <row r="75" spans="1:16" ht="18.75" hidden="1">
      <c r="A75" s="4"/>
      <c r="B75" s="9"/>
      <c r="C75" s="27">
        <v>62</v>
      </c>
      <c r="D75" s="60">
        <v>312</v>
      </c>
      <c r="E75" s="60">
        <v>46111</v>
      </c>
      <c r="F75" s="70"/>
      <c r="G75" s="34"/>
      <c r="H75" s="33"/>
      <c r="I75" s="32"/>
      <c r="J75" s="58"/>
      <c r="K75" s="58"/>
      <c r="L75" s="59"/>
      <c r="M75" s="71">
        <v>34.090000000000003</v>
      </c>
      <c r="N75" s="31"/>
      <c r="O75" s="7"/>
      <c r="P75" s="8"/>
    </row>
    <row r="76" spans="1:16" ht="18.75" hidden="1">
      <c r="A76" s="4"/>
      <c r="B76" s="9"/>
      <c r="C76" s="27">
        <v>63</v>
      </c>
      <c r="D76" s="60">
        <v>312801</v>
      </c>
      <c r="E76" s="60">
        <v>84121</v>
      </c>
      <c r="F76" s="70"/>
      <c r="G76" s="34"/>
      <c r="H76" s="33"/>
      <c r="I76" s="32"/>
      <c r="J76" s="58"/>
      <c r="K76" s="58"/>
      <c r="L76" s="59"/>
      <c r="M76" s="71">
        <v>16.48</v>
      </c>
      <c r="N76" s="31"/>
      <c r="O76" s="7"/>
      <c r="P76" s="8"/>
    </row>
    <row r="77" spans="1:16" ht="18.75" hidden="1">
      <c r="A77" s="4"/>
      <c r="B77" s="9"/>
      <c r="C77" s="27">
        <v>64</v>
      </c>
      <c r="D77" s="60">
        <v>312803</v>
      </c>
      <c r="E77" s="60">
        <v>83021</v>
      </c>
      <c r="F77" s="70"/>
      <c r="G77" s="34"/>
      <c r="H77" s="33"/>
      <c r="I77" s="32"/>
      <c r="J77" s="58"/>
      <c r="K77" s="58"/>
      <c r="L77" s="59"/>
      <c r="M77" s="71">
        <v>993.85</v>
      </c>
      <c r="N77" s="31"/>
      <c r="O77" s="7"/>
      <c r="P77" s="8"/>
    </row>
    <row r="78" spans="1:16" ht="18.75" hidden="1">
      <c r="A78" s="4"/>
      <c r="B78" s="9"/>
      <c r="C78" s="27">
        <v>65</v>
      </c>
      <c r="D78" s="60">
        <v>314</v>
      </c>
      <c r="E78" s="60">
        <v>46111</v>
      </c>
      <c r="F78" s="70"/>
      <c r="G78" s="34"/>
      <c r="H78" s="33"/>
      <c r="I78" s="32"/>
      <c r="J78" s="58"/>
      <c r="K78" s="58"/>
      <c r="L78" s="59"/>
      <c r="M78" s="71">
        <v>31.6</v>
      </c>
      <c r="N78" s="31"/>
      <c r="O78" s="7"/>
      <c r="P78" s="8"/>
    </row>
    <row r="79" spans="1:16" ht="18.75" hidden="1">
      <c r="A79" s="4"/>
      <c r="B79" s="9"/>
      <c r="C79" s="27">
        <v>66</v>
      </c>
      <c r="D79" s="60">
        <v>318801</v>
      </c>
      <c r="E79" s="60">
        <v>84121</v>
      </c>
      <c r="F79" s="70"/>
      <c r="G79" s="34"/>
      <c r="H79" s="33"/>
      <c r="I79" s="32"/>
      <c r="J79" s="58"/>
      <c r="K79" s="58"/>
      <c r="L79" s="59"/>
      <c r="M79" s="71">
        <v>17.420000000000002</v>
      </c>
      <c r="N79" s="31"/>
      <c r="O79" s="7"/>
      <c r="P79" s="8"/>
    </row>
    <row r="80" spans="1:16" ht="18.75" hidden="1">
      <c r="A80" s="4"/>
      <c r="B80" s="9"/>
      <c r="C80" s="27">
        <v>67</v>
      </c>
      <c r="D80" s="60">
        <v>318803</v>
      </c>
      <c r="E80" s="60">
        <v>83061</v>
      </c>
      <c r="F80" s="70"/>
      <c r="G80" s="34"/>
      <c r="H80" s="33"/>
      <c r="I80" s="32"/>
      <c r="J80" s="58"/>
      <c r="K80" s="58"/>
      <c r="L80" s="59"/>
      <c r="M80" s="71">
        <v>88.85</v>
      </c>
      <c r="N80" s="31"/>
      <c r="O80" s="7"/>
      <c r="P80" s="8"/>
    </row>
    <row r="81" spans="1:16" ht="18.75" hidden="1">
      <c r="A81" s="4"/>
      <c r="B81" s="9"/>
      <c r="C81" s="27">
        <v>68</v>
      </c>
      <c r="D81" s="60">
        <v>320801</v>
      </c>
      <c r="E81" s="60">
        <v>84121</v>
      </c>
      <c r="F81" s="70"/>
      <c r="G81" s="34"/>
      <c r="H81" s="33"/>
      <c r="I81" s="32"/>
      <c r="J81" s="58"/>
      <c r="K81" s="58"/>
      <c r="L81" s="59"/>
      <c r="M81" s="71">
        <v>30.86</v>
      </c>
      <c r="N81" s="31"/>
      <c r="O81" s="7"/>
      <c r="P81" s="8"/>
    </row>
    <row r="82" spans="1:16" ht="18.75" hidden="1">
      <c r="A82" s="4"/>
      <c r="B82" s="9"/>
      <c r="C82" s="27">
        <v>69</v>
      </c>
      <c r="D82" s="60">
        <v>331</v>
      </c>
      <c r="E82" s="60">
        <v>53026</v>
      </c>
      <c r="F82" s="70"/>
      <c r="G82" s="34"/>
      <c r="H82" s="33"/>
      <c r="I82" s="32"/>
      <c r="J82" s="58"/>
      <c r="K82" s="58"/>
      <c r="L82" s="59"/>
      <c r="M82" s="71">
        <v>11806.28</v>
      </c>
      <c r="N82" s="31"/>
      <c r="O82" s="7"/>
      <c r="P82" s="8"/>
    </row>
    <row r="83" spans="1:16" ht="18.75" hidden="1">
      <c r="A83" s="4"/>
      <c r="B83" s="9"/>
      <c r="C83" s="27">
        <v>70</v>
      </c>
      <c r="D83" s="60">
        <v>331100</v>
      </c>
      <c r="E83" s="60">
        <v>53063</v>
      </c>
      <c r="F83" s="70"/>
      <c r="G83" s="34"/>
      <c r="H83" s="33"/>
      <c r="I83" s="32"/>
      <c r="J83" s="58"/>
      <c r="K83" s="58"/>
      <c r="L83" s="59"/>
      <c r="M83" s="71">
        <v>302.89999999999998</v>
      </c>
      <c r="N83" s="31"/>
      <c r="O83" s="7"/>
      <c r="P83" s="8"/>
    </row>
    <row r="84" spans="1:16" ht="18.75" hidden="1">
      <c r="A84" s="4"/>
      <c r="B84" s="9"/>
      <c r="C84" s="27">
        <v>71</v>
      </c>
      <c r="D84" s="60">
        <v>331100</v>
      </c>
      <c r="E84" s="60">
        <v>54121</v>
      </c>
      <c r="F84" s="70"/>
      <c r="G84" s="34"/>
      <c r="H84" s="33"/>
      <c r="I84" s="32"/>
      <c r="J84" s="58"/>
      <c r="K84" s="58"/>
      <c r="L84" s="59"/>
      <c r="M84" s="71">
        <v>8.4600000000000009</v>
      </c>
      <c r="N84" s="31"/>
      <c r="O84" s="7"/>
      <c r="P84" s="8"/>
    </row>
    <row r="85" spans="1:16" ht="18.75" hidden="1">
      <c r="A85" s="4"/>
      <c r="B85" s="9"/>
      <c r="C85" s="27">
        <v>72</v>
      </c>
      <c r="D85" s="60">
        <v>331610</v>
      </c>
      <c r="E85" s="60">
        <v>64258</v>
      </c>
      <c r="F85" s="70"/>
      <c r="G85" s="34"/>
      <c r="H85" s="33"/>
      <c r="I85" s="32"/>
      <c r="J85" s="58"/>
      <c r="K85" s="58"/>
      <c r="L85" s="59"/>
      <c r="M85" s="71">
        <v>88.69</v>
      </c>
      <c r="N85" s="31"/>
      <c r="O85" s="7"/>
      <c r="P85" s="8"/>
    </row>
    <row r="86" spans="1:16" ht="18.75" hidden="1">
      <c r="A86" s="4"/>
      <c r="B86" s="9"/>
      <c r="C86" s="27">
        <v>73</v>
      </c>
      <c r="D86" s="60">
        <v>332803</v>
      </c>
      <c r="E86" s="60">
        <v>83061</v>
      </c>
      <c r="F86" s="70"/>
      <c r="G86" s="34"/>
      <c r="H86" s="33"/>
      <c r="I86" s="32"/>
      <c r="J86" s="58"/>
      <c r="K86" s="58"/>
      <c r="L86" s="59"/>
      <c r="M86" s="71">
        <v>386.55</v>
      </c>
      <c r="N86" s="31"/>
      <c r="O86" s="7"/>
      <c r="P86" s="8"/>
    </row>
    <row r="87" spans="1:16" ht="18.75" hidden="1">
      <c r="A87" s="4"/>
      <c r="B87" s="9"/>
      <c r="C87" s="27">
        <v>74</v>
      </c>
      <c r="D87" s="60">
        <v>333803</v>
      </c>
      <c r="E87" s="60">
        <v>83061</v>
      </c>
      <c r="F87" s="70"/>
      <c r="G87" s="34"/>
      <c r="H87" s="33"/>
      <c r="I87" s="32"/>
      <c r="J87" s="58"/>
      <c r="K87" s="58"/>
      <c r="L87" s="59"/>
      <c r="M87" s="71">
        <v>166.42</v>
      </c>
      <c r="N87" s="31"/>
      <c r="O87" s="7"/>
      <c r="P87" s="8"/>
    </row>
    <row r="88" spans="1:16" ht="18.75" hidden="1">
      <c r="A88" s="4"/>
      <c r="B88" s="9"/>
      <c r="C88" s="27">
        <v>75</v>
      </c>
      <c r="D88" s="60">
        <v>335</v>
      </c>
      <c r="E88" s="60">
        <v>46111</v>
      </c>
      <c r="F88" s="70"/>
      <c r="G88" s="34"/>
      <c r="H88" s="33"/>
      <c r="I88" s="32"/>
      <c r="J88" s="58"/>
      <c r="K88" s="58"/>
      <c r="L88" s="59"/>
      <c r="M88" s="71">
        <v>12.34</v>
      </c>
      <c r="N88" s="31"/>
      <c r="O88" s="7"/>
      <c r="P88" s="8"/>
    </row>
    <row r="89" spans="1:16" ht="18.75" hidden="1">
      <c r="A89" s="4"/>
      <c r="B89" s="9"/>
      <c r="C89" s="27">
        <v>76</v>
      </c>
      <c r="D89" s="60">
        <v>335801</v>
      </c>
      <c r="E89" s="60">
        <v>84121</v>
      </c>
      <c r="F89" s="70"/>
      <c r="G89" s="34"/>
      <c r="H89" s="33"/>
      <c r="I89" s="32"/>
      <c r="J89" s="58"/>
      <c r="K89" s="58"/>
      <c r="L89" s="59"/>
      <c r="M89" s="71">
        <v>7.08</v>
      </c>
      <c r="N89" s="31"/>
      <c r="O89" s="7"/>
      <c r="P89" s="8"/>
    </row>
    <row r="90" spans="1:16" ht="18.75" hidden="1">
      <c r="A90" s="4"/>
      <c r="B90" s="9"/>
      <c r="C90" s="27">
        <v>77</v>
      </c>
      <c r="D90" s="60">
        <v>336</v>
      </c>
      <c r="E90" s="60">
        <v>46111</v>
      </c>
      <c r="F90" s="70"/>
      <c r="G90" s="34"/>
      <c r="H90" s="33"/>
      <c r="I90" s="32"/>
      <c r="J90" s="58"/>
      <c r="K90" s="58"/>
      <c r="L90" s="59"/>
      <c r="M90" s="71">
        <v>18.54</v>
      </c>
      <c r="N90" s="31"/>
      <c r="O90" s="7"/>
      <c r="P90" s="8"/>
    </row>
    <row r="91" spans="1:16" ht="18.75" hidden="1">
      <c r="A91" s="4"/>
      <c r="B91" s="9"/>
      <c r="C91" s="27">
        <v>78</v>
      </c>
      <c r="D91" s="60">
        <v>336801</v>
      </c>
      <c r="E91" s="60">
        <v>84121</v>
      </c>
      <c r="F91" s="70"/>
      <c r="G91" s="34"/>
      <c r="H91" s="33"/>
      <c r="I91" s="32"/>
      <c r="J91" s="58"/>
      <c r="K91" s="58"/>
      <c r="L91" s="59"/>
      <c r="M91" s="71">
        <v>20.36</v>
      </c>
      <c r="N91" s="31"/>
      <c r="O91" s="7"/>
      <c r="P91" s="8"/>
    </row>
    <row r="92" spans="1:16" ht="18.75" hidden="1">
      <c r="A92" s="4"/>
      <c r="B92" s="9"/>
      <c r="C92" s="27">
        <v>79</v>
      </c>
      <c r="D92" s="60">
        <v>337801</v>
      </c>
      <c r="E92" s="60">
        <v>84121</v>
      </c>
      <c r="F92" s="70"/>
      <c r="G92" s="34"/>
      <c r="H92" s="33"/>
      <c r="I92" s="32"/>
      <c r="J92" s="58"/>
      <c r="K92" s="58"/>
      <c r="L92" s="59"/>
      <c r="M92" s="71">
        <v>30.35</v>
      </c>
      <c r="N92" s="31"/>
      <c r="O92" s="7"/>
      <c r="P92" s="8"/>
    </row>
    <row r="93" spans="1:16" ht="18.75" hidden="1">
      <c r="A93" s="4"/>
      <c r="B93" s="9"/>
      <c r="C93" s="27">
        <v>80</v>
      </c>
      <c r="D93" s="60">
        <v>337803</v>
      </c>
      <c r="E93" s="60">
        <v>83061</v>
      </c>
      <c r="F93" s="70"/>
      <c r="G93" s="34"/>
      <c r="H93" s="33"/>
      <c r="I93" s="32"/>
      <c r="J93" s="58"/>
      <c r="K93" s="58"/>
      <c r="L93" s="59"/>
      <c r="M93" s="71">
        <v>88.69</v>
      </c>
      <c r="N93" s="31"/>
      <c r="O93" s="7"/>
      <c r="P93" s="8"/>
    </row>
    <row r="94" spans="1:16" ht="18.75" hidden="1">
      <c r="A94" s="4"/>
      <c r="B94" s="9"/>
      <c r="C94" s="27">
        <v>81</v>
      </c>
      <c r="D94" s="60">
        <v>338</v>
      </c>
      <c r="E94" s="60">
        <v>46111</v>
      </c>
      <c r="F94" s="70"/>
      <c r="G94" s="34"/>
      <c r="H94" s="33"/>
      <c r="I94" s="32"/>
      <c r="J94" s="58"/>
      <c r="K94" s="58"/>
      <c r="L94" s="59"/>
      <c r="M94" s="71">
        <v>10.16</v>
      </c>
      <c r="N94" s="31"/>
      <c r="O94" s="7"/>
      <c r="P94" s="8"/>
    </row>
    <row r="95" spans="1:16" ht="18.75" hidden="1">
      <c r="A95" s="4"/>
      <c r="B95" s="9"/>
      <c r="C95" s="27">
        <v>82</v>
      </c>
      <c r="D95" s="60">
        <v>338803</v>
      </c>
      <c r="E95" s="60">
        <v>83021</v>
      </c>
      <c r="F95" s="70"/>
      <c r="G95" s="34"/>
      <c r="H95" s="33"/>
      <c r="I95" s="32"/>
      <c r="J95" s="58"/>
      <c r="K95" s="58"/>
      <c r="L95" s="59"/>
      <c r="M95" s="71">
        <v>70.040000000000006</v>
      </c>
      <c r="N95" s="31"/>
      <c r="O95" s="7"/>
      <c r="P95" s="8"/>
    </row>
    <row r="96" spans="1:16" ht="18.75" hidden="1">
      <c r="A96" s="4"/>
      <c r="B96" s="9"/>
      <c r="C96" s="27">
        <v>83</v>
      </c>
      <c r="D96" s="60">
        <v>338803</v>
      </c>
      <c r="E96" s="60">
        <v>83061</v>
      </c>
      <c r="F96" s="70"/>
      <c r="G96" s="34"/>
      <c r="H96" s="33"/>
      <c r="I96" s="32"/>
      <c r="J96" s="58"/>
      <c r="K96" s="58"/>
      <c r="L96" s="59"/>
      <c r="M96" s="71">
        <v>70.16</v>
      </c>
      <c r="N96" s="31"/>
      <c r="O96" s="7"/>
      <c r="P96" s="8"/>
    </row>
    <row r="97" spans="1:16" ht="18.75" hidden="1">
      <c r="A97" s="4"/>
      <c r="B97" s="9"/>
      <c r="C97" s="27">
        <v>84</v>
      </c>
      <c r="D97" s="60">
        <v>339</v>
      </c>
      <c r="E97" s="60">
        <v>46111</v>
      </c>
      <c r="F97" s="70"/>
      <c r="G97" s="34"/>
      <c r="H97" s="33"/>
      <c r="I97" s="32"/>
      <c r="J97" s="58"/>
      <c r="K97" s="58"/>
      <c r="L97" s="59"/>
      <c r="M97" s="71">
        <v>5.96</v>
      </c>
      <c r="N97" s="31"/>
      <c r="O97" s="7"/>
      <c r="P97" s="8"/>
    </row>
    <row r="98" spans="1:16" ht="18.75" hidden="1">
      <c r="A98" s="4"/>
      <c r="B98" s="9"/>
      <c r="C98" s="27">
        <v>85</v>
      </c>
      <c r="D98" s="60">
        <v>339801</v>
      </c>
      <c r="E98" s="60">
        <v>84121</v>
      </c>
      <c r="F98" s="70"/>
      <c r="G98" s="34"/>
      <c r="H98" s="33"/>
      <c r="I98" s="32"/>
      <c r="J98" s="58"/>
      <c r="K98" s="58"/>
      <c r="L98" s="59"/>
      <c r="M98" s="71">
        <v>23.27</v>
      </c>
      <c r="N98" s="31"/>
      <c r="O98" s="7"/>
      <c r="P98" s="8"/>
    </row>
    <row r="99" spans="1:16" ht="18.75" hidden="1">
      <c r="A99" s="4"/>
      <c r="B99" s="9"/>
      <c r="C99" s="27">
        <v>86</v>
      </c>
      <c r="D99" s="60">
        <v>339803</v>
      </c>
      <c r="E99" s="60">
        <v>83021</v>
      </c>
      <c r="F99" s="70"/>
      <c r="G99" s="34"/>
      <c r="H99" s="33"/>
      <c r="I99" s="32"/>
      <c r="J99" s="58"/>
      <c r="K99" s="58"/>
      <c r="L99" s="59"/>
      <c r="M99" s="71">
        <v>158.88999999999999</v>
      </c>
      <c r="N99" s="31"/>
      <c r="O99" s="7"/>
      <c r="P99" s="8"/>
    </row>
    <row r="100" spans="1:16" ht="18.75" hidden="1">
      <c r="A100" s="4"/>
      <c r="B100" s="9"/>
      <c r="C100" s="27">
        <v>87</v>
      </c>
      <c r="D100" s="60">
        <v>341</v>
      </c>
      <c r="E100" s="60">
        <v>46111</v>
      </c>
      <c r="F100" s="70"/>
      <c r="G100" s="34"/>
      <c r="H100" s="33"/>
      <c r="I100" s="32"/>
      <c r="J100" s="58"/>
      <c r="K100" s="58"/>
      <c r="L100" s="59"/>
      <c r="M100" s="71">
        <v>74.849999999999994</v>
      </c>
      <c r="N100" s="31"/>
      <c r="O100" s="7"/>
      <c r="P100" s="8"/>
    </row>
    <row r="101" spans="1:16" ht="18.75" hidden="1">
      <c r="A101" s="4"/>
      <c r="B101" s="9"/>
      <c r="C101" s="27">
        <v>88</v>
      </c>
      <c r="D101" s="60">
        <v>341</v>
      </c>
      <c r="E101" s="60">
        <v>53021</v>
      </c>
      <c r="F101" s="70"/>
      <c r="G101" s="34"/>
      <c r="H101" s="33"/>
      <c r="I101" s="32"/>
      <c r="J101" s="58"/>
      <c r="K101" s="58"/>
      <c r="L101" s="59"/>
      <c r="M101" s="71">
        <v>3693.27</v>
      </c>
      <c r="N101" s="31"/>
      <c r="O101" s="7"/>
      <c r="P101" s="8"/>
    </row>
    <row r="102" spans="1:16" ht="18.75" hidden="1">
      <c r="A102" s="4"/>
      <c r="B102" s="9"/>
      <c r="C102" s="27">
        <v>89</v>
      </c>
      <c r="D102" s="60">
        <v>341</v>
      </c>
      <c r="E102" s="60">
        <v>53024</v>
      </c>
      <c r="F102" s="70"/>
      <c r="G102" s="34"/>
      <c r="H102" s="33"/>
      <c r="I102" s="32"/>
      <c r="J102" s="58"/>
      <c r="K102" s="58"/>
      <c r="L102" s="59"/>
      <c r="M102" s="71">
        <v>19682.3</v>
      </c>
      <c r="N102" s="31"/>
      <c r="O102" s="7"/>
      <c r="P102" s="8"/>
    </row>
    <row r="103" spans="1:16" ht="18.75" hidden="1">
      <c r="A103" s="4"/>
      <c r="B103" s="9"/>
      <c r="C103" s="27">
        <v>90</v>
      </c>
      <c r="D103" s="60">
        <v>341100</v>
      </c>
      <c r="E103" s="60">
        <v>53063</v>
      </c>
      <c r="F103" s="70"/>
      <c r="G103" s="34"/>
      <c r="H103" s="33"/>
      <c r="I103" s="32"/>
      <c r="J103" s="58"/>
      <c r="K103" s="58"/>
      <c r="L103" s="59"/>
      <c r="M103" s="71">
        <v>2249</v>
      </c>
      <c r="N103" s="31"/>
      <c r="O103" s="7"/>
      <c r="P103" s="8"/>
    </row>
    <row r="104" spans="1:16" ht="18.75" hidden="1">
      <c r="A104" s="4"/>
      <c r="B104" s="9"/>
      <c r="C104" s="27">
        <v>91</v>
      </c>
      <c r="D104" s="60">
        <v>341100</v>
      </c>
      <c r="E104" s="60">
        <v>54121</v>
      </c>
      <c r="F104" s="70"/>
      <c r="G104" s="34"/>
      <c r="H104" s="33"/>
      <c r="I104" s="32"/>
      <c r="J104" s="58"/>
      <c r="K104" s="58"/>
      <c r="L104" s="59"/>
      <c r="M104" s="71">
        <v>165.06</v>
      </c>
      <c r="N104" s="31"/>
      <c r="O104" s="7"/>
      <c r="P104" s="8"/>
    </row>
    <row r="105" spans="1:16" ht="18.75" hidden="1">
      <c r="A105" s="4"/>
      <c r="B105" s="9"/>
      <c r="C105" s="27">
        <v>92</v>
      </c>
      <c r="D105" s="60">
        <v>341590</v>
      </c>
      <c r="E105" s="60">
        <v>53011</v>
      </c>
      <c r="F105" s="70" t="s">
        <v>34</v>
      </c>
      <c r="G105" s="34"/>
      <c r="H105" s="33"/>
      <c r="I105" s="32"/>
      <c r="J105" s="58"/>
      <c r="K105" s="58"/>
      <c r="L105" s="59"/>
      <c r="M105" s="71">
        <v>1068.1500000000001</v>
      </c>
      <c r="N105" s="31"/>
      <c r="O105" s="7"/>
      <c r="P105" s="8"/>
    </row>
    <row r="106" spans="1:16" ht="18.75" hidden="1">
      <c r="A106" s="4"/>
      <c r="B106" s="9"/>
      <c r="C106" s="27">
        <v>93</v>
      </c>
      <c r="D106" s="60">
        <v>342</v>
      </c>
      <c r="E106" s="60">
        <v>46111</v>
      </c>
      <c r="F106" s="70"/>
      <c r="G106" s="34"/>
      <c r="H106" s="33"/>
      <c r="I106" s="32"/>
      <c r="J106" s="58"/>
      <c r="K106" s="58"/>
      <c r="L106" s="59"/>
      <c r="M106" s="71">
        <v>11.18</v>
      </c>
      <c r="N106" s="31"/>
      <c r="O106" s="7"/>
      <c r="P106" s="8"/>
    </row>
    <row r="107" spans="1:16" ht="18.75" hidden="1">
      <c r="A107" s="4"/>
      <c r="B107" s="9"/>
      <c r="C107" s="27">
        <v>94</v>
      </c>
      <c r="D107" s="60">
        <v>342803</v>
      </c>
      <c r="E107" s="60">
        <v>83021</v>
      </c>
      <c r="F107" s="70"/>
      <c r="G107" s="34"/>
      <c r="H107" s="33"/>
      <c r="I107" s="32"/>
      <c r="J107" s="58"/>
      <c r="K107" s="58"/>
      <c r="L107" s="59"/>
      <c r="M107" s="71">
        <v>539.14</v>
      </c>
      <c r="N107" s="31"/>
      <c r="O107" s="7"/>
      <c r="P107" s="8"/>
    </row>
    <row r="108" spans="1:16" ht="18.75" hidden="1">
      <c r="A108" s="4"/>
      <c r="B108" s="9"/>
      <c r="C108" s="27">
        <v>95</v>
      </c>
      <c r="D108" s="60">
        <v>344801</v>
      </c>
      <c r="E108" s="60">
        <v>84121</v>
      </c>
      <c r="F108" s="70"/>
      <c r="G108" s="34"/>
      <c r="H108" s="33"/>
      <c r="I108" s="32"/>
      <c r="J108" s="58"/>
      <c r="K108" s="58"/>
      <c r="L108" s="59"/>
      <c r="M108" s="71">
        <v>111.52</v>
      </c>
      <c r="N108" s="31"/>
      <c r="O108" s="7"/>
      <c r="P108" s="8"/>
    </row>
    <row r="109" spans="1:16" ht="18.75" hidden="1">
      <c r="A109" s="4"/>
      <c r="B109" s="9"/>
      <c r="C109" s="27">
        <v>96</v>
      </c>
      <c r="D109" s="60">
        <v>344803</v>
      </c>
      <c r="E109" s="60">
        <v>83061</v>
      </c>
      <c r="F109" s="70"/>
      <c r="G109" s="34"/>
      <c r="H109" s="33"/>
      <c r="I109" s="32"/>
      <c r="J109" s="58"/>
      <c r="K109" s="58"/>
      <c r="L109" s="59"/>
      <c r="M109" s="71">
        <v>133.82</v>
      </c>
      <c r="N109" s="31"/>
      <c r="O109" s="7"/>
      <c r="P109" s="8"/>
    </row>
    <row r="110" spans="1:16" ht="18.75" hidden="1">
      <c r="A110" s="4"/>
      <c r="B110" s="9"/>
      <c r="C110" s="27">
        <v>97</v>
      </c>
      <c r="D110" s="60">
        <v>345801</v>
      </c>
      <c r="E110" s="60">
        <v>84121</v>
      </c>
      <c r="F110" s="70"/>
      <c r="G110" s="34"/>
      <c r="H110" s="33"/>
      <c r="I110" s="32"/>
      <c r="J110" s="58"/>
      <c r="K110" s="58"/>
      <c r="L110" s="59"/>
      <c r="M110" s="71">
        <v>6.45</v>
      </c>
      <c r="N110" s="31"/>
      <c r="O110" s="7"/>
      <c r="P110" s="8"/>
    </row>
    <row r="111" spans="1:16" ht="18.75" hidden="1">
      <c r="A111" s="4"/>
      <c r="B111" s="9"/>
      <c r="C111" s="27">
        <v>98</v>
      </c>
      <c r="D111" s="60">
        <v>348</v>
      </c>
      <c r="E111" s="60">
        <v>53021</v>
      </c>
      <c r="F111" s="70"/>
      <c r="G111" s="34"/>
      <c r="H111" s="33"/>
      <c r="I111" s="32"/>
      <c r="J111" s="58"/>
      <c r="K111" s="58"/>
      <c r="L111" s="59"/>
      <c r="M111" s="71">
        <v>2444.0500000000002</v>
      </c>
      <c r="N111" s="31"/>
      <c r="O111" s="7"/>
      <c r="P111" s="8"/>
    </row>
    <row r="112" spans="1:16" ht="18.75" hidden="1">
      <c r="A112" s="4"/>
      <c r="B112" s="9"/>
      <c r="C112" s="27">
        <v>99</v>
      </c>
      <c r="D112" s="60">
        <v>348</v>
      </c>
      <c r="E112" s="60">
        <v>53061</v>
      </c>
      <c r="F112" s="70"/>
      <c r="G112" s="34"/>
      <c r="H112" s="33"/>
      <c r="I112" s="32"/>
      <c r="J112" s="58"/>
      <c r="K112" s="58"/>
      <c r="L112" s="59"/>
      <c r="M112" s="71">
        <v>1595</v>
      </c>
      <c r="N112" s="31"/>
      <c r="O112" s="7"/>
      <c r="P112" s="8"/>
    </row>
    <row r="113" spans="1:16" ht="18.75" hidden="1">
      <c r="A113" s="4"/>
      <c r="B113" s="9"/>
      <c r="C113" s="27">
        <v>100</v>
      </c>
      <c r="D113" s="60">
        <v>348100</v>
      </c>
      <c r="E113" s="60">
        <v>54121</v>
      </c>
      <c r="F113" s="70"/>
      <c r="G113" s="34"/>
      <c r="H113" s="33"/>
      <c r="I113" s="32"/>
      <c r="J113" s="58"/>
      <c r="K113" s="58"/>
      <c r="L113" s="59"/>
      <c r="M113" s="71">
        <v>58.51</v>
      </c>
      <c r="N113" s="31"/>
      <c r="O113" s="7"/>
      <c r="P113" s="8"/>
    </row>
    <row r="114" spans="1:16" ht="18.75" hidden="1">
      <c r="A114" s="4"/>
      <c r="B114" s="9"/>
      <c r="C114" s="27">
        <v>101</v>
      </c>
      <c r="D114" s="60">
        <v>348509</v>
      </c>
      <c r="E114" s="60">
        <v>54121</v>
      </c>
      <c r="F114" s="70"/>
      <c r="G114" s="34"/>
      <c r="H114" s="33"/>
      <c r="I114" s="32"/>
      <c r="J114" s="58"/>
      <c r="K114" s="58"/>
      <c r="L114" s="59"/>
      <c r="M114" s="71">
        <v>95.07</v>
      </c>
      <c r="N114" s="31"/>
      <c r="O114" s="7"/>
      <c r="P114" s="8"/>
    </row>
    <row r="115" spans="1:16" ht="18.75" hidden="1">
      <c r="A115" s="4"/>
      <c r="B115" s="9"/>
      <c r="C115" s="27">
        <v>102</v>
      </c>
      <c r="D115" s="60">
        <v>354524</v>
      </c>
      <c r="E115" s="60">
        <v>54121</v>
      </c>
      <c r="F115" s="70"/>
      <c r="G115" s="34"/>
      <c r="H115" s="33"/>
      <c r="I115" s="32"/>
      <c r="J115" s="58"/>
      <c r="K115" s="58"/>
      <c r="L115" s="59"/>
      <c r="M115" s="71">
        <v>18.07</v>
      </c>
      <c r="N115" s="31"/>
      <c r="O115" s="7"/>
      <c r="P115" s="8"/>
    </row>
    <row r="116" spans="1:16" ht="18.75" hidden="1">
      <c r="A116" s="4"/>
      <c r="B116" s="9"/>
      <c r="C116" s="27">
        <v>103</v>
      </c>
      <c r="D116" s="60">
        <v>370518</v>
      </c>
      <c r="E116" s="60">
        <v>54121</v>
      </c>
      <c r="F116" s="70"/>
      <c r="G116" s="34"/>
      <c r="H116" s="33"/>
      <c r="I116" s="32"/>
      <c r="J116" s="58"/>
      <c r="K116" s="58"/>
      <c r="L116" s="59"/>
      <c r="M116" s="71">
        <v>9.56</v>
      </c>
      <c r="N116" s="31"/>
      <c r="O116" s="7"/>
      <c r="P116" s="8"/>
    </row>
    <row r="117" spans="1:16" ht="18.75" hidden="1">
      <c r="A117" s="4"/>
      <c r="B117" s="9"/>
      <c r="C117" s="27">
        <v>104</v>
      </c>
      <c r="D117" s="60">
        <v>370562</v>
      </c>
      <c r="E117" s="60">
        <v>54831</v>
      </c>
      <c r="F117" s="70"/>
      <c r="G117" s="34"/>
      <c r="H117" s="33"/>
      <c r="I117" s="32"/>
      <c r="J117" s="58"/>
      <c r="K117" s="58"/>
      <c r="L117" s="59"/>
      <c r="M117" s="71">
        <v>113.34</v>
      </c>
      <c r="N117" s="31"/>
      <c r="O117" s="7"/>
      <c r="P117" s="8"/>
    </row>
    <row r="118" spans="1:16" ht="18.75" hidden="1">
      <c r="A118" s="4"/>
      <c r="B118" s="9"/>
      <c r="C118" s="27">
        <v>105</v>
      </c>
      <c r="D118" s="60">
        <v>370590</v>
      </c>
      <c r="E118" s="60">
        <v>54015</v>
      </c>
      <c r="F118" s="70"/>
      <c r="G118" s="34"/>
      <c r="H118" s="33"/>
      <c r="I118" s="32"/>
      <c r="J118" s="58"/>
      <c r="K118" s="58"/>
      <c r="L118" s="59"/>
      <c r="M118" s="71">
        <v>1101.49</v>
      </c>
      <c r="N118" s="31"/>
      <c r="O118" s="7"/>
      <c r="P118" s="8"/>
    </row>
    <row r="119" spans="1:16" ht="18.75" hidden="1">
      <c r="A119" s="4"/>
      <c r="B119" s="9"/>
      <c r="C119" s="27">
        <v>106</v>
      </c>
      <c r="D119" s="60">
        <v>370590</v>
      </c>
      <c r="E119" s="60">
        <v>54121</v>
      </c>
      <c r="F119" s="70"/>
      <c r="G119" s="34"/>
      <c r="H119" s="33"/>
      <c r="I119" s="32"/>
      <c r="J119" s="58"/>
      <c r="K119" s="58"/>
      <c r="L119" s="59"/>
      <c r="M119" s="71">
        <v>17.420000000000002</v>
      </c>
      <c r="N119" s="31"/>
      <c r="O119" s="7"/>
      <c r="P119" s="8"/>
    </row>
    <row r="120" spans="1:16" ht="18.75" hidden="1">
      <c r="A120" s="4"/>
      <c r="B120" s="9"/>
      <c r="C120" s="27">
        <v>107</v>
      </c>
      <c r="D120" s="60">
        <v>370605</v>
      </c>
      <c r="E120" s="60">
        <v>64121</v>
      </c>
      <c r="F120" s="70"/>
      <c r="G120" s="34"/>
      <c r="H120" s="33"/>
      <c r="I120" s="32"/>
      <c r="J120" s="58"/>
      <c r="K120" s="58"/>
      <c r="L120" s="59"/>
      <c r="M120" s="71">
        <v>50.01</v>
      </c>
      <c r="N120" s="31"/>
      <c r="O120" s="7"/>
      <c r="P120" s="8"/>
    </row>
    <row r="121" spans="1:16" ht="18.75" hidden="1">
      <c r="A121" s="4"/>
      <c r="B121" s="9"/>
      <c r="C121" s="27">
        <v>108</v>
      </c>
      <c r="D121" s="60">
        <v>370611</v>
      </c>
      <c r="E121" s="60">
        <v>64121</v>
      </c>
      <c r="F121" s="70"/>
      <c r="G121" s="34"/>
      <c r="H121" s="33"/>
      <c r="I121" s="32"/>
      <c r="J121" s="58"/>
      <c r="K121" s="58"/>
      <c r="L121" s="59"/>
      <c r="M121" s="71">
        <v>255.65</v>
      </c>
      <c r="N121" s="31"/>
      <c r="O121" s="7"/>
      <c r="P121" s="8"/>
    </row>
    <row r="122" spans="1:16" ht="18.75" hidden="1">
      <c r="A122" s="4"/>
      <c r="B122" s="9"/>
      <c r="C122" s="27">
        <v>109</v>
      </c>
      <c r="D122" s="60">
        <v>370620</v>
      </c>
      <c r="E122" s="60">
        <v>63061</v>
      </c>
      <c r="F122" s="70"/>
      <c r="G122" s="34"/>
      <c r="H122" s="33"/>
      <c r="I122" s="32"/>
      <c r="J122" s="58"/>
      <c r="K122" s="58"/>
      <c r="L122" s="59"/>
      <c r="M122" s="71">
        <v>816.73</v>
      </c>
      <c r="N122" s="31"/>
      <c r="O122" s="7"/>
      <c r="P122" s="8"/>
    </row>
    <row r="123" spans="1:16" ht="18.75" hidden="1">
      <c r="A123" s="4"/>
      <c r="B123" s="9"/>
      <c r="C123" s="27">
        <v>110</v>
      </c>
      <c r="D123" s="60">
        <v>370620</v>
      </c>
      <c r="E123" s="60">
        <v>64258</v>
      </c>
      <c r="F123" s="70"/>
      <c r="G123" s="34"/>
      <c r="H123" s="33"/>
      <c r="I123" s="32"/>
      <c r="J123" s="58"/>
      <c r="K123" s="58"/>
      <c r="L123" s="59"/>
      <c r="M123" s="71">
        <v>93.73</v>
      </c>
      <c r="N123" s="31"/>
      <c r="O123" s="7"/>
      <c r="P123" s="8"/>
    </row>
    <row r="124" spans="1:16" ht="18.75" hidden="1">
      <c r="A124" s="4"/>
      <c r="B124" s="9"/>
      <c r="C124" s="27">
        <v>111</v>
      </c>
      <c r="D124" s="60">
        <v>370662</v>
      </c>
      <c r="E124" s="60">
        <v>63061</v>
      </c>
      <c r="F124" s="70"/>
      <c r="G124" s="34"/>
      <c r="H124" s="33"/>
      <c r="I124" s="32"/>
      <c r="J124" s="58"/>
      <c r="K124" s="58"/>
      <c r="L124" s="59"/>
      <c r="M124" s="71">
        <v>1149.4100000000001</v>
      </c>
      <c r="N124" s="31"/>
      <c r="O124" s="7"/>
      <c r="P124" s="8"/>
    </row>
    <row r="125" spans="1:16" ht="18.75" hidden="1">
      <c r="A125" s="4"/>
      <c r="B125" s="9"/>
      <c r="C125" s="27">
        <v>112</v>
      </c>
      <c r="D125" s="60">
        <v>370662</v>
      </c>
      <c r="E125" s="60">
        <v>64121</v>
      </c>
      <c r="F125" s="70"/>
      <c r="G125" s="34"/>
      <c r="H125" s="33"/>
      <c r="I125" s="32"/>
      <c r="J125" s="58"/>
      <c r="K125" s="58"/>
      <c r="L125" s="59"/>
      <c r="M125" s="71">
        <v>13.96</v>
      </c>
      <c r="N125" s="31"/>
      <c r="O125" s="7"/>
      <c r="P125" s="8"/>
    </row>
    <row r="126" spans="1:16" ht="18.75" hidden="1">
      <c r="A126" s="4"/>
      <c r="B126" s="9"/>
      <c r="C126" s="27">
        <v>113</v>
      </c>
      <c r="D126" s="60">
        <v>370810</v>
      </c>
      <c r="E126" s="60">
        <v>84121</v>
      </c>
      <c r="F126" s="70"/>
      <c r="G126" s="34"/>
      <c r="H126" s="33"/>
      <c r="I126" s="32"/>
      <c r="J126" s="58"/>
      <c r="K126" s="58"/>
      <c r="L126" s="59"/>
      <c r="M126" s="71">
        <v>33.14</v>
      </c>
      <c r="N126" s="31"/>
      <c r="O126" s="7"/>
      <c r="P126" s="8"/>
    </row>
    <row r="127" spans="1:16" ht="18.75" hidden="1">
      <c r="A127" s="4"/>
      <c r="B127" s="9"/>
      <c r="C127" s="27">
        <v>114</v>
      </c>
      <c r="D127" s="60">
        <v>370830</v>
      </c>
      <c r="E127" s="60">
        <v>83065</v>
      </c>
      <c r="F127" s="70"/>
      <c r="G127" s="34"/>
      <c r="H127" s="33"/>
      <c r="I127" s="32"/>
      <c r="J127" s="58"/>
      <c r="K127" s="58"/>
      <c r="L127" s="59"/>
      <c r="M127" s="71">
        <v>1724.46</v>
      </c>
      <c r="N127" s="31"/>
      <c r="O127" s="7"/>
      <c r="P127" s="8"/>
    </row>
    <row r="128" spans="1:16" ht="18.75" hidden="1">
      <c r="A128" s="4"/>
      <c r="B128" s="9"/>
      <c r="C128" s="27">
        <v>115</v>
      </c>
      <c r="D128" s="60">
        <v>370830</v>
      </c>
      <c r="E128" s="60">
        <v>84121</v>
      </c>
      <c r="F128" s="70"/>
      <c r="G128" s="34"/>
      <c r="H128" s="33"/>
      <c r="I128" s="32"/>
      <c r="J128" s="58"/>
      <c r="K128" s="58"/>
      <c r="L128" s="59"/>
      <c r="M128" s="71">
        <v>2729.03</v>
      </c>
      <c r="N128" s="31"/>
      <c r="O128" s="7"/>
      <c r="P128" s="8"/>
    </row>
    <row r="129" spans="1:16" ht="18.75" hidden="1">
      <c r="A129" s="4"/>
      <c r="B129" s="9"/>
      <c r="C129" s="27">
        <v>116</v>
      </c>
      <c r="D129" s="60">
        <v>370851</v>
      </c>
      <c r="E129" s="60">
        <v>84121</v>
      </c>
      <c r="F129" s="70"/>
      <c r="G129" s="34"/>
      <c r="H129" s="33"/>
      <c r="I129" s="32"/>
      <c r="J129" s="58"/>
      <c r="K129" s="58"/>
      <c r="L129" s="59"/>
      <c r="M129" s="71">
        <v>30.76</v>
      </c>
      <c r="N129" s="31"/>
      <c r="O129" s="7"/>
      <c r="P129" s="8"/>
    </row>
    <row r="130" spans="1:16" ht="18.75" hidden="1">
      <c r="A130" s="4"/>
      <c r="B130" s="9"/>
      <c r="C130" s="27">
        <v>117</v>
      </c>
      <c r="D130" s="60">
        <v>370909</v>
      </c>
      <c r="E130" s="60">
        <v>94121</v>
      </c>
      <c r="F130" s="70"/>
      <c r="G130" s="34"/>
      <c r="H130" s="33"/>
      <c r="I130" s="32"/>
      <c r="J130" s="58"/>
      <c r="K130" s="58"/>
      <c r="L130" s="59"/>
      <c r="M130" s="71">
        <v>1266.67</v>
      </c>
      <c r="N130" s="31"/>
      <c r="O130" s="7"/>
      <c r="P130" s="8"/>
    </row>
    <row r="131" spans="1:16" ht="18.75" hidden="1">
      <c r="A131" s="4"/>
      <c r="B131" s="9"/>
      <c r="C131" s="27">
        <v>118</v>
      </c>
      <c r="D131" s="60">
        <v>370912</v>
      </c>
      <c r="E131" s="60">
        <v>94121</v>
      </c>
      <c r="F131" s="70"/>
      <c r="G131" s="34"/>
      <c r="H131" s="33"/>
      <c r="I131" s="32"/>
      <c r="J131" s="58"/>
      <c r="K131" s="58"/>
      <c r="L131" s="59"/>
      <c r="M131" s="71">
        <v>10</v>
      </c>
      <c r="N131" s="31"/>
      <c r="O131" s="7"/>
      <c r="P131" s="8"/>
    </row>
    <row r="132" spans="1:16" ht="18.75" hidden="1">
      <c r="A132" s="4"/>
      <c r="B132" s="9"/>
      <c r="C132" s="27">
        <v>119</v>
      </c>
      <c r="D132" s="60">
        <v>370917</v>
      </c>
      <c r="E132" s="60">
        <v>94121</v>
      </c>
      <c r="F132" s="70"/>
      <c r="G132" s="34"/>
      <c r="H132" s="33"/>
      <c r="I132" s="32"/>
      <c r="J132" s="58"/>
      <c r="K132" s="58"/>
      <c r="L132" s="59"/>
      <c r="M132" s="71">
        <v>10.53</v>
      </c>
      <c r="N132" s="31"/>
      <c r="O132" s="7"/>
      <c r="P132" s="8"/>
    </row>
    <row r="133" spans="1:16" ht="18.75" hidden="1">
      <c r="A133" s="4"/>
      <c r="B133" s="9"/>
      <c r="C133" s="27">
        <v>120</v>
      </c>
      <c r="D133" s="60">
        <v>370922</v>
      </c>
      <c r="E133" s="60">
        <v>94121</v>
      </c>
      <c r="F133" s="70"/>
      <c r="G133" s="34"/>
      <c r="H133" s="33"/>
      <c r="I133" s="32"/>
      <c r="J133" s="58"/>
      <c r="K133" s="58"/>
      <c r="L133" s="59"/>
      <c r="M133" s="71">
        <v>69.19</v>
      </c>
      <c r="N133" s="31"/>
      <c r="O133" s="7"/>
      <c r="P133" s="8"/>
    </row>
    <row r="134" spans="1:16" ht="18.75" hidden="1">
      <c r="A134" s="4"/>
      <c r="B134" s="9"/>
      <c r="C134" s="27">
        <v>121</v>
      </c>
      <c r="D134" s="60">
        <v>370931</v>
      </c>
      <c r="E134" s="60">
        <v>94121</v>
      </c>
      <c r="F134" s="70"/>
      <c r="G134" s="34"/>
      <c r="H134" s="33"/>
      <c r="I134" s="32"/>
      <c r="J134" s="58"/>
      <c r="K134" s="58"/>
      <c r="L134" s="59"/>
      <c r="M134" s="71">
        <v>9.56</v>
      </c>
      <c r="N134" s="31"/>
      <c r="O134" s="7"/>
      <c r="P134" s="8"/>
    </row>
    <row r="135" spans="1:16" ht="18.75" hidden="1">
      <c r="A135" s="4"/>
      <c r="B135" s="9"/>
      <c r="C135" s="27">
        <v>122</v>
      </c>
      <c r="D135" s="60">
        <v>370933</v>
      </c>
      <c r="E135" s="60">
        <v>94121</v>
      </c>
      <c r="F135" s="70"/>
      <c r="G135" s="34"/>
      <c r="H135" s="33"/>
      <c r="I135" s="32"/>
      <c r="J135" s="58"/>
      <c r="K135" s="58"/>
      <c r="L135" s="59"/>
      <c r="M135" s="71">
        <v>12.23</v>
      </c>
      <c r="N135" s="31"/>
      <c r="O135" s="7"/>
      <c r="P135" s="8"/>
    </row>
    <row r="136" spans="1:16" ht="18.75" hidden="1">
      <c r="A136" s="4"/>
      <c r="B136" s="9"/>
      <c r="C136" s="27">
        <v>123</v>
      </c>
      <c r="D136" s="60">
        <v>370936</v>
      </c>
      <c r="E136" s="60">
        <v>94121</v>
      </c>
      <c r="F136" s="70"/>
      <c r="G136" s="34"/>
      <c r="H136" s="33"/>
      <c r="I136" s="32"/>
      <c r="J136" s="58"/>
      <c r="K136" s="58"/>
      <c r="L136" s="59"/>
      <c r="M136" s="71">
        <v>653.11</v>
      </c>
      <c r="N136" s="31"/>
      <c r="O136" s="7"/>
      <c r="P136" s="8"/>
    </row>
    <row r="137" spans="1:16" ht="18.75" hidden="1">
      <c r="A137" s="4"/>
      <c r="B137" s="9"/>
      <c r="C137" s="27">
        <v>124</v>
      </c>
      <c r="D137" s="60">
        <v>373527</v>
      </c>
      <c r="E137" s="60">
        <v>54121</v>
      </c>
      <c r="F137" s="70"/>
      <c r="G137" s="34"/>
      <c r="H137" s="33"/>
      <c r="I137" s="32"/>
      <c r="J137" s="58"/>
      <c r="K137" s="58"/>
      <c r="L137" s="59"/>
      <c r="M137" s="71">
        <v>23.3</v>
      </c>
      <c r="N137" s="31"/>
      <c r="O137" s="7"/>
      <c r="P137" s="8"/>
    </row>
    <row r="138" spans="1:16" ht="18.75" hidden="1">
      <c r="A138" s="4"/>
      <c r="B138" s="9"/>
      <c r="C138" s="27">
        <v>125</v>
      </c>
      <c r="D138" s="60">
        <v>375512</v>
      </c>
      <c r="E138" s="60">
        <v>54121</v>
      </c>
      <c r="F138" s="70"/>
      <c r="G138" s="34"/>
      <c r="H138" s="33"/>
      <c r="I138" s="32"/>
      <c r="J138" s="58"/>
      <c r="K138" s="58"/>
      <c r="L138" s="59"/>
      <c r="M138" s="71">
        <v>5.26</v>
      </c>
      <c r="N138" s="31"/>
      <c r="O138" s="7"/>
      <c r="P138" s="8"/>
    </row>
    <row r="139" spans="1:16" ht="18.75" hidden="1">
      <c r="A139" s="4"/>
      <c r="B139" s="9"/>
      <c r="C139" s="27">
        <v>126</v>
      </c>
      <c r="D139" s="60">
        <v>377</v>
      </c>
      <c r="E139" s="60">
        <v>46113</v>
      </c>
      <c r="F139" s="70">
        <v>300</v>
      </c>
      <c r="G139" s="34"/>
      <c r="H139" s="33"/>
      <c r="I139" s="32"/>
      <c r="J139" s="58"/>
      <c r="K139" s="58"/>
      <c r="L139" s="59"/>
      <c r="M139" s="71">
        <v>12245.93</v>
      </c>
      <c r="N139" s="31"/>
      <c r="O139" s="7"/>
      <c r="P139" s="8"/>
    </row>
    <row r="140" spans="1:16" ht="18.75" hidden="1">
      <c r="A140" s="4"/>
      <c r="B140" s="9"/>
      <c r="C140" s="27">
        <v>127</v>
      </c>
      <c r="D140" s="60">
        <v>377509</v>
      </c>
      <c r="E140" s="60">
        <v>54121</v>
      </c>
      <c r="F140" s="70"/>
      <c r="G140" s="34"/>
      <c r="H140" s="33"/>
      <c r="I140" s="32"/>
      <c r="J140" s="58"/>
      <c r="K140" s="58"/>
      <c r="L140" s="59"/>
      <c r="M140" s="71">
        <v>180.32</v>
      </c>
      <c r="N140" s="31"/>
      <c r="O140" s="7"/>
      <c r="P140" s="8"/>
    </row>
    <row r="141" spans="1:16" ht="18.75" hidden="1">
      <c r="A141" s="4"/>
      <c r="B141" s="9"/>
      <c r="C141" s="27">
        <v>128</v>
      </c>
      <c r="D141" s="60">
        <v>378514</v>
      </c>
      <c r="E141" s="60">
        <v>54121</v>
      </c>
      <c r="F141" s="70"/>
      <c r="G141" s="34"/>
      <c r="H141" s="33"/>
      <c r="I141" s="32"/>
      <c r="J141" s="58"/>
      <c r="K141" s="58"/>
      <c r="L141" s="59"/>
      <c r="M141" s="71">
        <v>36.4</v>
      </c>
      <c r="N141" s="31"/>
      <c r="O141" s="7"/>
      <c r="P141" s="8"/>
    </row>
    <row r="142" spans="1:16" ht="18.75" hidden="1">
      <c r="A142" s="4"/>
      <c r="B142" s="9"/>
      <c r="C142" s="27">
        <v>129</v>
      </c>
      <c r="D142" s="60">
        <v>383</v>
      </c>
      <c r="E142" s="60">
        <v>46111</v>
      </c>
      <c r="F142" s="70"/>
      <c r="G142" s="34"/>
      <c r="H142" s="33"/>
      <c r="I142" s="32"/>
      <c r="J142" s="58"/>
      <c r="K142" s="58"/>
      <c r="L142" s="59"/>
      <c r="M142" s="71">
        <v>12.15</v>
      </c>
      <c r="N142" s="31"/>
      <c r="O142" s="7"/>
      <c r="P142" s="8"/>
    </row>
    <row r="143" spans="1:16" ht="18.75" hidden="1">
      <c r="A143" s="4"/>
      <c r="B143" s="9"/>
      <c r="C143" s="27">
        <v>130</v>
      </c>
      <c r="D143" s="60">
        <v>383803</v>
      </c>
      <c r="E143" s="60">
        <v>83021</v>
      </c>
      <c r="F143" s="70"/>
      <c r="G143" s="34"/>
      <c r="H143" s="33"/>
      <c r="I143" s="32"/>
      <c r="J143" s="58"/>
      <c r="K143" s="58"/>
      <c r="L143" s="59"/>
      <c r="M143" s="71">
        <v>128.6</v>
      </c>
      <c r="N143" s="31"/>
      <c r="O143" s="7"/>
      <c r="P143" s="8"/>
    </row>
    <row r="144" spans="1:16" ht="18.75" hidden="1">
      <c r="A144" s="4"/>
      <c r="B144" s="9"/>
      <c r="C144" s="27">
        <v>131</v>
      </c>
      <c r="D144" s="60">
        <v>386</v>
      </c>
      <c r="E144" s="60">
        <v>46111</v>
      </c>
      <c r="F144" s="70"/>
      <c r="G144" s="34"/>
      <c r="H144" s="33"/>
      <c r="I144" s="32"/>
      <c r="J144" s="58"/>
      <c r="K144" s="58"/>
      <c r="L144" s="59"/>
      <c r="M144" s="71">
        <v>17.559999999999999</v>
      </c>
      <c r="N144" s="31"/>
      <c r="O144" s="7"/>
      <c r="P144" s="8"/>
    </row>
    <row r="145" spans="1:16" ht="18.75" hidden="1">
      <c r="A145" s="4"/>
      <c r="B145" s="9"/>
      <c r="C145" s="27">
        <v>132</v>
      </c>
      <c r="D145" s="60">
        <v>386801</v>
      </c>
      <c r="E145" s="60">
        <v>84121</v>
      </c>
      <c r="F145" s="70"/>
      <c r="G145" s="34"/>
      <c r="H145" s="33"/>
      <c r="I145" s="32"/>
      <c r="J145" s="58"/>
      <c r="K145" s="58"/>
      <c r="L145" s="59"/>
      <c r="M145" s="71">
        <v>48.62</v>
      </c>
      <c r="N145" s="31"/>
      <c r="O145" s="7"/>
      <c r="P145" s="8"/>
    </row>
    <row r="146" spans="1:16" ht="18.75" hidden="1">
      <c r="A146" s="4"/>
      <c r="B146" s="9"/>
      <c r="C146" s="27">
        <v>133</v>
      </c>
      <c r="D146" s="60">
        <v>391801</v>
      </c>
      <c r="E146" s="60">
        <v>84121</v>
      </c>
      <c r="F146" s="70"/>
      <c r="G146" s="34"/>
      <c r="H146" s="33"/>
      <c r="I146" s="32"/>
      <c r="J146" s="58"/>
      <c r="K146" s="58"/>
      <c r="L146" s="59"/>
      <c r="M146" s="71">
        <v>68.28</v>
      </c>
      <c r="N146" s="31"/>
      <c r="O146" s="7"/>
      <c r="P146" s="8"/>
    </row>
    <row r="147" spans="1:16" ht="18.75" hidden="1">
      <c r="A147" s="4"/>
      <c r="B147" s="9"/>
      <c r="C147" s="27">
        <v>134</v>
      </c>
      <c r="D147" s="60">
        <v>391803</v>
      </c>
      <c r="E147" s="60">
        <v>83021</v>
      </c>
      <c r="F147" s="70"/>
      <c r="G147" s="34"/>
      <c r="H147" s="33"/>
      <c r="I147" s="32"/>
      <c r="J147" s="58"/>
      <c r="K147" s="58"/>
      <c r="L147" s="59"/>
      <c r="M147" s="71">
        <v>375.8</v>
      </c>
      <c r="N147" s="31"/>
      <c r="O147" s="7"/>
      <c r="P147" s="8"/>
    </row>
    <row r="148" spans="1:16" ht="18.75" hidden="1">
      <c r="A148" s="4"/>
      <c r="B148" s="9"/>
      <c r="C148" s="27">
        <v>135</v>
      </c>
      <c r="D148" s="60">
        <v>391803</v>
      </c>
      <c r="E148" s="60">
        <v>83061</v>
      </c>
      <c r="F148" s="70"/>
      <c r="G148" s="34"/>
      <c r="H148" s="33"/>
      <c r="I148" s="32"/>
      <c r="J148" s="58"/>
      <c r="K148" s="58"/>
      <c r="L148" s="59"/>
      <c r="M148" s="71">
        <v>88.69</v>
      </c>
      <c r="N148" s="31"/>
      <c r="O148" s="7"/>
      <c r="P148" s="8"/>
    </row>
    <row r="149" spans="1:16" ht="18.75" hidden="1">
      <c r="A149" s="4"/>
      <c r="B149" s="9"/>
      <c r="C149" s="27">
        <v>136</v>
      </c>
      <c r="D149" s="60">
        <v>395</v>
      </c>
      <c r="E149" s="60">
        <v>46113</v>
      </c>
      <c r="F149" s="70">
        <v>101</v>
      </c>
      <c r="G149" s="34"/>
      <c r="H149" s="33"/>
      <c r="I149" s="32"/>
      <c r="J149" s="58"/>
      <c r="K149" s="58"/>
      <c r="L149" s="59"/>
      <c r="M149" s="71">
        <v>317.79000000000002</v>
      </c>
      <c r="N149" s="31"/>
      <c r="O149" s="7"/>
      <c r="P149" s="8"/>
    </row>
    <row r="150" spans="1:16" ht="18.75" hidden="1">
      <c r="A150" s="4"/>
      <c r="B150" s="9"/>
      <c r="C150" s="27">
        <v>137</v>
      </c>
      <c r="D150" s="60">
        <v>395</v>
      </c>
      <c r="E150" s="60">
        <v>46113</v>
      </c>
      <c r="F150" s="70">
        <v>131</v>
      </c>
      <c r="G150" s="34"/>
      <c r="H150" s="33"/>
      <c r="I150" s="32"/>
      <c r="J150" s="58"/>
      <c r="K150" s="58"/>
      <c r="L150" s="59"/>
      <c r="M150" s="71">
        <v>74.900000000000006</v>
      </c>
      <c r="N150" s="31"/>
      <c r="O150" s="7"/>
      <c r="P150" s="8"/>
    </row>
    <row r="151" spans="1:16" ht="18.75" hidden="1">
      <c r="A151" s="4"/>
      <c r="B151" s="9"/>
      <c r="C151" s="27">
        <v>138</v>
      </c>
      <c r="D151" s="60">
        <v>396</v>
      </c>
      <c r="E151" s="60">
        <v>46113</v>
      </c>
      <c r="F151" s="70">
        <v>101</v>
      </c>
      <c r="G151" s="34"/>
      <c r="H151" s="33"/>
      <c r="I151" s="32"/>
      <c r="J151" s="58"/>
      <c r="K151" s="58"/>
      <c r="L151" s="59"/>
      <c r="M151" s="71">
        <v>22.73</v>
      </c>
      <c r="N151" s="31"/>
      <c r="O151" s="7"/>
      <c r="P151" s="8"/>
    </row>
    <row r="152" spans="1:16" ht="18.75" hidden="1">
      <c r="A152" s="4"/>
      <c r="B152" s="9"/>
      <c r="C152" s="27">
        <v>139</v>
      </c>
      <c r="D152" s="60">
        <v>398588</v>
      </c>
      <c r="E152" s="60">
        <v>54121</v>
      </c>
      <c r="F152" s="70"/>
      <c r="G152" s="34"/>
      <c r="H152" s="33"/>
      <c r="I152" s="32"/>
      <c r="J152" s="58"/>
      <c r="K152" s="58"/>
      <c r="L152" s="59"/>
      <c r="M152" s="71">
        <v>51.47</v>
      </c>
      <c r="N152" s="31"/>
      <c r="O152" s="7"/>
      <c r="P152" s="8"/>
    </row>
    <row r="153" spans="1:16" ht="18.75" hidden="1">
      <c r="A153" s="4"/>
      <c r="B153" s="9"/>
      <c r="C153" s="27">
        <v>140</v>
      </c>
      <c r="D153" s="60">
        <v>398613</v>
      </c>
      <c r="E153" s="60">
        <v>64121</v>
      </c>
      <c r="F153" s="70"/>
      <c r="G153" s="34"/>
      <c r="H153" s="33"/>
      <c r="I153" s="32"/>
      <c r="J153" s="58"/>
      <c r="K153" s="58"/>
      <c r="L153" s="59"/>
      <c r="M153" s="71">
        <v>39.85</v>
      </c>
      <c r="N153" s="31"/>
      <c r="O153" s="7"/>
      <c r="P153" s="8"/>
    </row>
    <row r="154" spans="1:16" ht="18.75" hidden="1">
      <c r="A154" s="4"/>
      <c r="B154" s="9"/>
      <c r="C154" s="27">
        <v>141</v>
      </c>
      <c r="D154" s="60">
        <v>398814</v>
      </c>
      <c r="E154" s="60">
        <v>84121</v>
      </c>
      <c r="F154" s="70"/>
      <c r="G154" s="34"/>
      <c r="H154" s="33"/>
      <c r="I154" s="32"/>
      <c r="J154" s="58"/>
      <c r="K154" s="58"/>
      <c r="L154" s="59"/>
      <c r="M154" s="71">
        <v>29.91</v>
      </c>
      <c r="N154" s="31"/>
      <c r="O154" s="7"/>
      <c r="P154" s="8"/>
    </row>
    <row r="155" spans="1:16" ht="18.75" hidden="1">
      <c r="A155" s="4"/>
      <c r="B155" s="9"/>
      <c r="C155" s="27">
        <v>142</v>
      </c>
      <c r="D155" s="60">
        <v>398852</v>
      </c>
      <c r="E155" s="60">
        <v>84121</v>
      </c>
      <c r="F155" s="70"/>
      <c r="G155" s="34"/>
      <c r="H155" s="33"/>
      <c r="I155" s="32"/>
      <c r="J155" s="58"/>
      <c r="K155" s="58"/>
      <c r="L155" s="59"/>
      <c r="M155" s="71">
        <v>9.59</v>
      </c>
      <c r="N155" s="31"/>
      <c r="O155" s="7"/>
      <c r="P155" s="8"/>
    </row>
    <row r="156" spans="1:16" ht="18.75" hidden="1">
      <c r="A156" s="4"/>
      <c r="B156" s="9"/>
      <c r="C156" s="27">
        <v>143</v>
      </c>
      <c r="D156" s="60">
        <v>398887</v>
      </c>
      <c r="E156" s="60">
        <v>84121</v>
      </c>
      <c r="F156" s="70"/>
      <c r="G156" s="34"/>
      <c r="H156" s="33"/>
      <c r="I156" s="32"/>
      <c r="J156" s="58"/>
      <c r="K156" s="58"/>
      <c r="L156" s="59"/>
      <c r="M156" s="71">
        <v>11.86</v>
      </c>
      <c r="N156" s="31"/>
      <c r="O156" s="7"/>
      <c r="P156" s="8"/>
    </row>
    <row r="157" spans="1:16" ht="18.75" hidden="1">
      <c r="A157" s="4"/>
      <c r="B157" s="9"/>
      <c r="C157" s="27">
        <v>144</v>
      </c>
      <c r="D157" s="60">
        <v>398897</v>
      </c>
      <c r="E157" s="60">
        <v>84121</v>
      </c>
      <c r="F157" s="70"/>
      <c r="G157" s="34"/>
      <c r="H157" s="33"/>
      <c r="I157" s="32"/>
      <c r="J157" s="58"/>
      <c r="K157" s="58"/>
      <c r="L157" s="59"/>
      <c r="M157" s="71">
        <v>9.65</v>
      </c>
      <c r="N157" s="31"/>
      <c r="O157" s="7"/>
      <c r="P157" s="8"/>
    </row>
    <row r="158" spans="1:16" ht="18.75" hidden="1">
      <c r="A158" s="4"/>
      <c r="B158" s="9"/>
      <c r="C158" s="27">
        <v>145</v>
      </c>
      <c r="D158" s="60">
        <v>398898</v>
      </c>
      <c r="E158" s="60">
        <v>84121</v>
      </c>
      <c r="F158" s="70"/>
      <c r="G158" s="34"/>
      <c r="H158" s="33"/>
      <c r="I158" s="32"/>
      <c r="J158" s="58"/>
      <c r="K158" s="58"/>
      <c r="L158" s="59"/>
      <c r="M158" s="71">
        <v>75.63</v>
      </c>
      <c r="N158" s="31"/>
      <c r="O158" s="7"/>
      <c r="P158" s="8"/>
    </row>
    <row r="159" spans="1:16" ht="18.75" hidden="1">
      <c r="A159" s="4"/>
      <c r="B159" s="9"/>
      <c r="C159" s="27">
        <v>146</v>
      </c>
      <c r="D159" s="60">
        <v>398920</v>
      </c>
      <c r="E159" s="60">
        <v>94121</v>
      </c>
      <c r="F159" s="70"/>
      <c r="G159" s="34"/>
      <c r="H159" s="33"/>
      <c r="I159" s="32"/>
      <c r="J159" s="58"/>
      <c r="K159" s="58"/>
      <c r="L159" s="59"/>
      <c r="M159" s="71">
        <v>9.65</v>
      </c>
      <c r="N159" s="31"/>
      <c r="O159" s="7"/>
      <c r="P159" s="8"/>
    </row>
    <row r="160" spans="1:16" ht="18.75" hidden="1">
      <c r="A160" s="4"/>
      <c r="B160" s="9"/>
      <c r="C160" s="27">
        <v>147</v>
      </c>
      <c r="D160" s="60">
        <v>398953</v>
      </c>
      <c r="E160" s="60">
        <v>94121</v>
      </c>
      <c r="F160" s="70"/>
      <c r="G160" s="34"/>
      <c r="H160" s="33"/>
      <c r="I160" s="32"/>
      <c r="J160" s="58"/>
      <c r="K160" s="58"/>
      <c r="L160" s="59"/>
      <c r="M160" s="71">
        <v>79.44</v>
      </c>
      <c r="N160" s="31"/>
      <c r="O160" s="7"/>
      <c r="P160" s="8"/>
    </row>
    <row r="161" spans="1:16" ht="18.75" hidden="1">
      <c r="A161" s="4"/>
      <c r="B161" s="9"/>
      <c r="C161" s="27">
        <v>148</v>
      </c>
      <c r="D161" s="60">
        <v>405801</v>
      </c>
      <c r="E161" s="60">
        <v>84121</v>
      </c>
      <c r="F161" s="70"/>
      <c r="G161" s="34"/>
      <c r="H161" s="33"/>
      <c r="I161" s="32"/>
      <c r="J161" s="58"/>
      <c r="K161" s="58"/>
      <c r="L161" s="59"/>
      <c r="M161" s="71">
        <v>91.46</v>
      </c>
      <c r="N161" s="31"/>
      <c r="O161" s="7"/>
      <c r="P161" s="8"/>
    </row>
    <row r="162" spans="1:16" ht="18.75" hidden="1">
      <c r="A162" s="4"/>
      <c r="B162" s="9"/>
      <c r="C162" s="27">
        <v>149</v>
      </c>
      <c r="D162" s="60">
        <v>406801</v>
      </c>
      <c r="E162" s="60">
        <v>84121</v>
      </c>
      <c r="F162" s="70"/>
      <c r="G162" s="34"/>
      <c r="H162" s="33"/>
      <c r="I162" s="32"/>
      <c r="J162" s="58"/>
      <c r="K162" s="58"/>
      <c r="L162" s="59"/>
      <c r="M162" s="71">
        <v>22.91</v>
      </c>
      <c r="N162" s="31"/>
      <c r="O162" s="7"/>
      <c r="P162" s="8"/>
    </row>
    <row r="163" spans="1:16" ht="18.75" hidden="1">
      <c r="A163" s="4"/>
      <c r="B163" s="9"/>
      <c r="C163" s="27">
        <v>150</v>
      </c>
      <c r="D163" s="60">
        <v>407</v>
      </c>
      <c r="E163" s="60">
        <v>46111</v>
      </c>
      <c r="F163" s="70"/>
      <c r="G163" s="34"/>
      <c r="H163" s="33"/>
      <c r="I163" s="32"/>
      <c r="J163" s="58"/>
      <c r="K163" s="58"/>
      <c r="L163" s="59"/>
      <c r="M163" s="71">
        <v>18.88</v>
      </c>
      <c r="N163" s="31"/>
      <c r="O163" s="7"/>
      <c r="P163" s="8"/>
    </row>
    <row r="164" spans="1:16" ht="18.75" hidden="1">
      <c r="A164" s="4"/>
      <c r="B164" s="9"/>
      <c r="C164" s="27">
        <v>151</v>
      </c>
      <c r="D164" s="60">
        <v>407801</v>
      </c>
      <c r="E164" s="60">
        <v>84121</v>
      </c>
      <c r="F164" s="70"/>
      <c r="G164" s="34"/>
      <c r="H164" s="33"/>
      <c r="I164" s="32"/>
      <c r="J164" s="58"/>
      <c r="K164" s="58"/>
      <c r="L164" s="59"/>
      <c r="M164" s="71">
        <v>10.62</v>
      </c>
      <c r="N164" s="31"/>
      <c r="O164" s="7"/>
      <c r="P164" s="8"/>
    </row>
    <row r="165" spans="1:16" ht="18.75" hidden="1">
      <c r="A165" s="4"/>
      <c r="B165" s="9"/>
      <c r="C165" s="27">
        <v>152</v>
      </c>
      <c r="D165" s="60">
        <v>408801</v>
      </c>
      <c r="E165" s="60">
        <v>84121</v>
      </c>
      <c r="F165" s="70"/>
      <c r="G165" s="34"/>
      <c r="H165" s="33"/>
      <c r="I165" s="32"/>
      <c r="J165" s="58"/>
      <c r="K165" s="58"/>
      <c r="L165" s="59"/>
      <c r="M165" s="71">
        <v>35.44</v>
      </c>
      <c r="N165" s="31"/>
      <c r="O165" s="7"/>
      <c r="P165" s="8"/>
    </row>
    <row r="166" spans="1:16" ht="18.75" hidden="1">
      <c r="A166" s="4"/>
      <c r="B166" s="9"/>
      <c r="C166" s="27">
        <v>153</v>
      </c>
      <c r="D166" s="60">
        <v>408803</v>
      </c>
      <c r="E166" s="60">
        <v>83061</v>
      </c>
      <c r="F166" s="70"/>
      <c r="G166" s="34"/>
      <c r="H166" s="33"/>
      <c r="I166" s="32"/>
      <c r="J166" s="58"/>
      <c r="K166" s="58"/>
      <c r="L166" s="59"/>
      <c r="M166" s="71">
        <v>98.46</v>
      </c>
      <c r="N166" s="31"/>
      <c r="O166" s="7"/>
      <c r="P166" s="8"/>
    </row>
    <row r="167" spans="1:16" ht="18.75" hidden="1">
      <c r="A167" s="4"/>
      <c r="B167" s="9"/>
      <c r="C167" s="27">
        <v>154</v>
      </c>
      <c r="D167" s="60">
        <v>412</v>
      </c>
      <c r="E167" s="60">
        <v>46111</v>
      </c>
      <c r="F167" s="70"/>
      <c r="G167" s="34"/>
      <c r="H167" s="33"/>
      <c r="I167" s="32"/>
      <c r="J167" s="58"/>
      <c r="K167" s="58"/>
      <c r="L167" s="59"/>
      <c r="M167" s="71">
        <v>5.08</v>
      </c>
      <c r="N167" s="31"/>
      <c r="O167" s="7"/>
      <c r="P167" s="8"/>
    </row>
    <row r="168" spans="1:16" ht="18.75" hidden="1">
      <c r="A168" s="4"/>
      <c r="B168" s="9"/>
      <c r="C168" s="27">
        <v>155</v>
      </c>
      <c r="D168" s="60">
        <v>412803</v>
      </c>
      <c r="E168" s="60">
        <v>83061</v>
      </c>
      <c r="F168" s="70"/>
      <c r="G168" s="34"/>
      <c r="H168" s="33"/>
      <c r="I168" s="32"/>
      <c r="J168" s="58"/>
      <c r="K168" s="58"/>
      <c r="L168" s="59"/>
      <c r="M168" s="71">
        <v>330.27</v>
      </c>
      <c r="N168" s="31"/>
      <c r="O168" s="7"/>
      <c r="P168" s="8"/>
    </row>
    <row r="169" spans="1:16" ht="18.75" hidden="1">
      <c r="A169" s="4"/>
      <c r="B169" s="9"/>
      <c r="C169" s="27">
        <v>156</v>
      </c>
      <c r="D169" s="60">
        <v>416525</v>
      </c>
      <c r="E169" s="60">
        <v>54121</v>
      </c>
      <c r="F169" s="70"/>
      <c r="G169" s="34"/>
      <c r="H169" s="33"/>
      <c r="I169" s="32"/>
      <c r="J169" s="58"/>
      <c r="K169" s="58"/>
      <c r="L169" s="59"/>
      <c r="M169" s="71">
        <v>36.28</v>
      </c>
      <c r="N169" s="31"/>
      <c r="O169" s="7"/>
      <c r="P169" s="8"/>
    </row>
    <row r="170" spans="1:16" ht="18.75" hidden="1">
      <c r="A170" s="4"/>
      <c r="B170" s="9"/>
      <c r="C170" s="27">
        <v>157</v>
      </c>
      <c r="D170" s="60">
        <v>418</v>
      </c>
      <c r="E170" s="60">
        <v>46111</v>
      </c>
      <c r="F170" s="70"/>
      <c r="G170" s="34"/>
      <c r="H170" s="33"/>
      <c r="I170" s="32"/>
      <c r="J170" s="58"/>
      <c r="K170" s="58"/>
      <c r="L170" s="59"/>
      <c r="M170" s="71">
        <v>15.04</v>
      </c>
      <c r="N170" s="31"/>
      <c r="O170" s="7"/>
      <c r="P170" s="8"/>
    </row>
    <row r="171" spans="1:16" ht="18.75" hidden="1">
      <c r="A171" s="4"/>
      <c r="B171" s="9"/>
      <c r="C171" s="27">
        <v>158</v>
      </c>
      <c r="D171" s="60">
        <v>418801</v>
      </c>
      <c r="E171" s="60">
        <v>84121</v>
      </c>
      <c r="F171" s="70"/>
      <c r="G171" s="34"/>
      <c r="H171" s="33"/>
      <c r="I171" s="32"/>
      <c r="J171" s="58"/>
      <c r="K171" s="58"/>
      <c r="L171" s="59"/>
      <c r="M171" s="71">
        <v>25.91</v>
      </c>
      <c r="N171" s="31"/>
      <c r="O171" s="7"/>
      <c r="P171" s="8"/>
    </row>
    <row r="172" spans="1:16" ht="18.75" hidden="1">
      <c r="A172" s="4"/>
      <c r="B172" s="9"/>
      <c r="C172" s="27">
        <v>159</v>
      </c>
      <c r="D172" s="60">
        <v>418803</v>
      </c>
      <c r="E172" s="60">
        <v>83021</v>
      </c>
      <c r="F172" s="70"/>
      <c r="G172" s="34"/>
      <c r="H172" s="33"/>
      <c r="I172" s="32"/>
      <c r="J172" s="58"/>
      <c r="K172" s="58"/>
      <c r="L172" s="59"/>
      <c r="M172" s="71">
        <v>590.16</v>
      </c>
      <c r="N172" s="31"/>
      <c r="O172" s="7"/>
      <c r="P172" s="8"/>
    </row>
    <row r="173" spans="1:16" ht="18.75" hidden="1">
      <c r="A173" s="4"/>
      <c r="B173" s="9"/>
      <c r="C173" s="27">
        <v>160</v>
      </c>
      <c r="D173" s="60">
        <v>421509</v>
      </c>
      <c r="E173" s="60">
        <v>54121</v>
      </c>
      <c r="F173" s="70"/>
      <c r="G173" s="34"/>
      <c r="H173" s="33"/>
      <c r="I173" s="32"/>
      <c r="J173" s="58"/>
      <c r="K173" s="58"/>
      <c r="L173" s="59"/>
      <c r="M173" s="71">
        <v>15.04</v>
      </c>
      <c r="N173" s="31"/>
      <c r="O173" s="7"/>
      <c r="P173" s="8"/>
    </row>
    <row r="174" spans="1:16" ht="18.75" hidden="1">
      <c r="A174" s="4"/>
      <c r="B174" s="9"/>
      <c r="C174" s="27">
        <v>161</v>
      </c>
      <c r="D174" s="60">
        <v>423801</v>
      </c>
      <c r="E174" s="60">
        <v>84121</v>
      </c>
      <c r="F174" s="70"/>
      <c r="G174" s="34"/>
      <c r="H174" s="33"/>
      <c r="I174" s="32"/>
      <c r="J174" s="58"/>
      <c r="K174" s="58"/>
      <c r="L174" s="59"/>
      <c r="M174" s="71">
        <v>5.33</v>
      </c>
      <c r="N174" s="31"/>
      <c r="O174" s="7"/>
      <c r="P174" s="8"/>
    </row>
    <row r="175" spans="1:16" ht="18.75" hidden="1">
      <c r="A175" s="4"/>
      <c r="B175" s="9"/>
      <c r="C175" s="27">
        <v>162</v>
      </c>
      <c r="D175" s="60">
        <v>430</v>
      </c>
      <c r="E175" s="60">
        <v>46111</v>
      </c>
      <c r="F175" s="70"/>
      <c r="G175" s="34"/>
      <c r="H175" s="33"/>
      <c r="I175" s="32"/>
      <c r="J175" s="58"/>
      <c r="K175" s="58"/>
      <c r="L175" s="59"/>
      <c r="M175" s="71">
        <v>30.19</v>
      </c>
      <c r="N175" s="31"/>
      <c r="O175" s="7"/>
      <c r="P175" s="8"/>
    </row>
    <row r="176" spans="1:16" ht="18.75" hidden="1">
      <c r="A176" s="4"/>
      <c r="B176" s="9"/>
      <c r="C176" s="27">
        <v>163</v>
      </c>
      <c r="D176" s="60">
        <v>430801</v>
      </c>
      <c r="E176" s="60">
        <v>84121</v>
      </c>
      <c r="F176" s="70"/>
      <c r="G176" s="34"/>
      <c r="H176" s="33"/>
      <c r="I176" s="32"/>
      <c r="J176" s="58"/>
      <c r="K176" s="58"/>
      <c r="L176" s="59"/>
      <c r="M176" s="71">
        <v>15.08</v>
      </c>
      <c r="N176" s="31"/>
      <c r="O176" s="7"/>
      <c r="P176" s="8"/>
    </row>
    <row r="177" spans="1:16" ht="18.75" hidden="1">
      <c r="A177" s="4"/>
      <c r="B177" s="9"/>
      <c r="C177" s="27">
        <v>164</v>
      </c>
      <c r="D177" s="60">
        <v>430803</v>
      </c>
      <c r="E177" s="60">
        <v>83061</v>
      </c>
      <c r="F177" s="70"/>
      <c r="G177" s="34"/>
      <c r="H177" s="33"/>
      <c r="I177" s="32"/>
      <c r="J177" s="58"/>
      <c r="K177" s="58"/>
      <c r="L177" s="59"/>
      <c r="M177" s="71">
        <v>140.19999999999999</v>
      </c>
      <c r="N177" s="31"/>
      <c r="O177" s="7"/>
      <c r="P177" s="8"/>
    </row>
    <row r="178" spans="1:16" ht="18.75" hidden="1">
      <c r="A178" s="4"/>
      <c r="B178" s="9"/>
      <c r="C178" s="27">
        <v>165</v>
      </c>
      <c r="D178" s="60">
        <v>442803</v>
      </c>
      <c r="E178" s="60">
        <v>83061</v>
      </c>
      <c r="F178" s="70"/>
      <c r="G178" s="34"/>
      <c r="H178" s="33"/>
      <c r="I178" s="32"/>
      <c r="J178" s="58"/>
      <c r="K178" s="58"/>
      <c r="L178" s="59"/>
      <c r="M178" s="71">
        <v>118.69</v>
      </c>
      <c r="N178" s="31"/>
      <c r="O178" s="7"/>
      <c r="P178" s="8"/>
    </row>
    <row r="179" spans="1:16" ht="18.75" hidden="1">
      <c r="A179" s="4"/>
      <c r="B179" s="9"/>
      <c r="C179" s="27">
        <v>166</v>
      </c>
      <c r="D179" s="60">
        <v>448509</v>
      </c>
      <c r="E179" s="60">
        <v>54121</v>
      </c>
      <c r="F179" s="70"/>
      <c r="G179" s="34"/>
      <c r="H179" s="33"/>
      <c r="I179" s="32"/>
      <c r="J179" s="58"/>
      <c r="K179" s="58"/>
      <c r="L179" s="59"/>
      <c r="M179" s="71">
        <v>15.15</v>
      </c>
      <c r="N179" s="31"/>
      <c r="O179" s="7"/>
      <c r="P179" s="8"/>
    </row>
    <row r="180" spans="1:16" ht="18.75" hidden="1">
      <c r="A180" s="4"/>
      <c r="B180" s="9"/>
      <c r="C180" s="27">
        <v>167</v>
      </c>
      <c r="D180" s="60">
        <v>449</v>
      </c>
      <c r="E180" s="60">
        <v>46111</v>
      </c>
      <c r="F180" s="70"/>
      <c r="G180" s="34"/>
      <c r="H180" s="33"/>
      <c r="I180" s="32"/>
      <c r="J180" s="58"/>
      <c r="K180" s="58"/>
      <c r="L180" s="59"/>
      <c r="M180" s="71">
        <v>10988.63</v>
      </c>
      <c r="N180" s="31"/>
      <c r="O180" s="7"/>
      <c r="P180" s="8"/>
    </row>
    <row r="181" spans="1:16" ht="18.75" hidden="1">
      <c r="A181" s="4"/>
      <c r="B181" s="9"/>
      <c r="C181" s="27">
        <v>168</v>
      </c>
      <c r="D181" s="60">
        <v>449509</v>
      </c>
      <c r="E181" s="60">
        <v>54121</v>
      </c>
      <c r="F181" s="70"/>
      <c r="G181" s="34"/>
      <c r="H181" s="33"/>
      <c r="I181" s="32"/>
      <c r="J181" s="58"/>
      <c r="K181" s="58"/>
      <c r="L181" s="59"/>
      <c r="M181" s="71">
        <v>11.96</v>
      </c>
      <c r="N181" s="31"/>
      <c r="O181" s="7"/>
      <c r="P181" s="8"/>
    </row>
    <row r="182" spans="1:16" ht="18.75" hidden="1">
      <c r="A182" s="4"/>
      <c r="B182" s="9"/>
      <c r="C182" s="27">
        <v>169</v>
      </c>
      <c r="D182" s="60">
        <v>451803</v>
      </c>
      <c r="E182" s="60">
        <v>83021</v>
      </c>
      <c r="F182" s="70"/>
      <c r="G182" s="34"/>
      <c r="H182" s="33"/>
      <c r="I182" s="32"/>
      <c r="J182" s="58"/>
      <c r="K182" s="58"/>
      <c r="L182" s="59"/>
      <c r="M182" s="71">
        <v>224.8</v>
      </c>
      <c r="N182" s="31"/>
      <c r="O182" s="7"/>
      <c r="P182" s="8"/>
    </row>
    <row r="183" spans="1:16" ht="18.75" hidden="1">
      <c r="A183" s="4"/>
      <c r="B183" s="9"/>
      <c r="C183" s="27">
        <v>170</v>
      </c>
      <c r="D183" s="60">
        <v>451803</v>
      </c>
      <c r="E183" s="60">
        <v>83061</v>
      </c>
      <c r="F183" s="70"/>
      <c r="G183" s="34"/>
      <c r="H183" s="33"/>
      <c r="I183" s="32"/>
      <c r="J183" s="58"/>
      <c r="K183" s="58"/>
      <c r="L183" s="59"/>
      <c r="M183" s="71">
        <v>754.17</v>
      </c>
      <c r="N183" s="31"/>
      <c r="O183" s="7"/>
      <c r="P183" s="8"/>
    </row>
    <row r="184" spans="1:16" ht="18.75" hidden="1">
      <c r="A184" s="4"/>
      <c r="B184" s="9"/>
      <c r="C184" s="27">
        <v>171</v>
      </c>
      <c r="D184" s="60">
        <v>452</v>
      </c>
      <c r="E184" s="60">
        <v>46111</v>
      </c>
      <c r="F184" s="70"/>
      <c r="G184" s="34"/>
      <c r="H184" s="33"/>
      <c r="I184" s="32"/>
      <c r="J184" s="58"/>
      <c r="K184" s="58"/>
      <c r="L184" s="59"/>
      <c r="M184" s="71">
        <v>106.72</v>
      </c>
      <c r="N184" s="31"/>
      <c r="O184" s="7"/>
      <c r="P184" s="8"/>
    </row>
    <row r="185" spans="1:16" ht="18.75" hidden="1">
      <c r="A185" s="4"/>
      <c r="B185" s="9"/>
      <c r="C185" s="27">
        <v>172</v>
      </c>
      <c r="D185" s="60">
        <v>452801</v>
      </c>
      <c r="E185" s="60">
        <v>84121</v>
      </c>
      <c r="F185" s="70"/>
      <c r="G185" s="34"/>
      <c r="H185" s="33"/>
      <c r="I185" s="32"/>
      <c r="J185" s="58"/>
      <c r="K185" s="58"/>
      <c r="L185" s="59"/>
      <c r="M185" s="71">
        <v>141.4</v>
      </c>
      <c r="N185" s="31"/>
      <c r="O185" s="7"/>
      <c r="P185" s="8"/>
    </row>
    <row r="186" spans="1:16" ht="18.75" hidden="1">
      <c r="A186" s="4"/>
      <c r="B186" s="9"/>
      <c r="C186" s="27">
        <v>173</v>
      </c>
      <c r="D186" s="60">
        <v>452803</v>
      </c>
      <c r="E186" s="60">
        <v>83061</v>
      </c>
      <c r="F186" s="70"/>
      <c r="G186" s="34"/>
      <c r="H186" s="33"/>
      <c r="I186" s="32"/>
      <c r="J186" s="58"/>
      <c r="K186" s="58"/>
      <c r="L186" s="59"/>
      <c r="M186" s="71">
        <v>309.35000000000002</v>
      </c>
      <c r="N186" s="31"/>
      <c r="O186" s="7"/>
      <c r="P186" s="8"/>
    </row>
    <row r="187" spans="1:16" ht="18.75" hidden="1">
      <c r="A187" s="4"/>
      <c r="B187" s="9"/>
      <c r="C187" s="27">
        <v>174</v>
      </c>
      <c r="D187" s="60">
        <v>453</v>
      </c>
      <c r="E187" s="60">
        <v>46111</v>
      </c>
      <c r="F187" s="70"/>
      <c r="G187" s="34"/>
      <c r="H187" s="33"/>
      <c r="I187" s="32"/>
      <c r="J187" s="58"/>
      <c r="K187" s="58"/>
      <c r="L187" s="59"/>
      <c r="M187" s="71">
        <v>31.55</v>
      </c>
      <c r="N187" s="31"/>
      <c r="O187" s="7"/>
      <c r="P187" s="8"/>
    </row>
    <row r="188" spans="1:16" ht="18.75" hidden="1">
      <c r="A188" s="4"/>
      <c r="B188" s="9"/>
      <c r="C188" s="27">
        <v>175</v>
      </c>
      <c r="D188" s="60">
        <v>453803</v>
      </c>
      <c r="E188" s="60">
        <v>83061</v>
      </c>
      <c r="F188" s="70"/>
      <c r="G188" s="34"/>
      <c r="H188" s="33"/>
      <c r="I188" s="32"/>
      <c r="J188" s="58"/>
      <c r="K188" s="58"/>
      <c r="L188" s="59"/>
      <c r="M188" s="71">
        <v>88.85</v>
      </c>
      <c r="N188" s="31"/>
      <c r="O188" s="7"/>
      <c r="P188" s="8"/>
    </row>
    <row r="189" spans="1:16" ht="18.75" hidden="1">
      <c r="A189" s="4"/>
      <c r="B189" s="9"/>
      <c r="C189" s="27">
        <v>176</v>
      </c>
      <c r="D189" s="60">
        <v>454</v>
      </c>
      <c r="E189" s="60">
        <v>46111</v>
      </c>
      <c r="F189" s="70"/>
      <c r="G189" s="34"/>
      <c r="H189" s="33"/>
      <c r="I189" s="32"/>
      <c r="J189" s="58"/>
      <c r="K189" s="58"/>
      <c r="L189" s="59"/>
      <c r="M189" s="71">
        <v>16.04</v>
      </c>
      <c r="N189" s="31"/>
      <c r="O189" s="7"/>
      <c r="P189" s="8"/>
    </row>
    <row r="190" spans="1:16" ht="18.75" hidden="1">
      <c r="A190" s="4"/>
      <c r="B190" s="9"/>
      <c r="C190" s="27">
        <v>177</v>
      </c>
      <c r="D190" s="60">
        <v>454801</v>
      </c>
      <c r="E190" s="60">
        <v>84121</v>
      </c>
      <c r="F190" s="70"/>
      <c r="G190" s="34"/>
      <c r="H190" s="33"/>
      <c r="I190" s="32"/>
      <c r="J190" s="58"/>
      <c r="K190" s="58"/>
      <c r="L190" s="59"/>
      <c r="M190" s="71">
        <v>153.26</v>
      </c>
      <c r="N190" s="31"/>
      <c r="O190" s="7"/>
      <c r="P190" s="8"/>
    </row>
    <row r="191" spans="1:16" ht="18.75" hidden="1">
      <c r="A191" s="4"/>
      <c r="B191" s="9"/>
      <c r="C191" s="27">
        <v>178</v>
      </c>
      <c r="D191" s="60">
        <v>455</v>
      </c>
      <c r="E191" s="60">
        <v>46111</v>
      </c>
      <c r="F191" s="70"/>
      <c r="G191" s="34"/>
      <c r="H191" s="33"/>
      <c r="I191" s="32"/>
      <c r="J191" s="58"/>
      <c r="K191" s="58"/>
      <c r="L191" s="59"/>
      <c r="M191" s="71">
        <v>15.25</v>
      </c>
      <c r="N191" s="31"/>
      <c r="O191" s="7"/>
      <c r="P191" s="8"/>
    </row>
    <row r="192" spans="1:16" ht="18.75" hidden="1">
      <c r="A192" s="4"/>
      <c r="B192" s="9"/>
      <c r="C192" s="27">
        <v>179</v>
      </c>
      <c r="D192" s="60">
        <v>455801</v>
      </c>
      <c r="E192" s="60">
        <v>84121</v>
      </c>
      <c r="F192" s="70"/>
      <c r="G192" s="34"/>
      <c r="H192" s="33"/>
      <c r="I192" s="32"/>
      <c r="J192" s="58"/>
      <c r="K192" s="58"/>
      <c r="L192" s="59"/>
      <c r="M192" s="71">
        <v>108.72</v>
      </c>
      <c r="N192" s="31"/>
      <c r="O192" s="7"/>
      <c r="P192" s="8"/>
    </row>
    <row r="193" spans="1:16" ht="18.75" hidden="1">
      <c r="A193" s="4"/>
      <c r="B193" s="9"/>
      <c r="C193" s="27">
        <v>180</v>
      </c>
      <c r="D193" s="60">
        <v>456</v>
      </c>
      <c r="E193" s="60">
        <v>46111</v>
      </c>
      <c r="F193" s="70"/>
      <c r="G193" s="34"/>
      <c r="H193" s="33"/>
      <c r="I193" s="32"/>
      <c r="J193" s="58"/>
      <c r="K193" s="58"/>
      <c r="L193" s="59"/>
      <c r="M193" s="71">
        <v>15.44</v>
      </c>
      <c r="N193" s="31"/>
      <c r="O193" s="7"/>
      <c r="P193" s="8"/>
    </row>
    <row r="194" spans="1:16" ht="18.75" hidden="1">
      <c r="A194" s="4"/>
      <c r="B194" s="9"/>
      <c r="C194" s="27">
        <v>181</v>
      </c>
      <c r="D194" s="60">
        <v>456801</v>
      </c>
      <c r="E194" s="60">
        <v>84121</v>
      </c>
      <c r="F194" s="70"/>
      <c r="G194" s="34"/>
      <c r="H194" s="33"/>
      <c r="I194" s="32"/>
      <c r="J194" s="58"/>
      <c r="K194" s="58"/>
      <c r="L194" s="59"/>
      <c r="M194" s="71">
        <v>9.07</v>
      </c>
      <c r="N194" s="31"/>
      <c r="O194" s="7"/>
      <c r="P194" s="8"/>
    </row>
    <row r="195" spans="1:16" ht="18.75" hidden="1">
      <c r="A195" s="4"/>
      <c r="B195" s="9"/>
      <c r="C195" s="27">
        <v>182</v>
      </c>
      <c r="D195" s="60">
        <v>456803</v>
      </c>
      <c r="E195" s="60">
        <v>83021</v>
      </c>
      <c r="F195" s="70"/>
      <c r="G195" s="34"/>
      <c r="H195" s="33"/>
      <c r="I195" s="32"/>
      <c r="J195" s="58"/>
      <c r="K195" s="58"/>
      <c r="L195" s="59"/>
      <c r="M195" s="71">
        <v>70.16</v>
      </c>
      <c r="N195" s="31"/>
      <c r="O195" s="7"/>
      <c r="P195" s="8"/>
    </row>
    <row r="196" spans="1:16" ht="18.75" hidden="1">
      <c r="A196" s="4"/>
      <c r="B196" s="9"/>
      <c r="C196" s="27">
        <v>183</v>
      </c>
      <c r="D196" s="60">
        <v>459801</v>
      </c>
      <c r="E196" s="60">
        <v>84121</v>
      </c>
      <c r="F196" s="70"/>
      <c r="G196" s="34"/>
      <c r="H196" s="33"/>
      <c r="I196" s="32"/>
      <c r="J196" s="58"/>
      <c r="K196" s="58"/>
      <c r="L196" s="59"/>
      <c r="M196" s="71">
        <v>20.079999999999998</v>
      </c>
      <c r="N196" s="31"/>
      <c r="O196" s="7"/>
      <c r="P196" s="8"/>
    </row>
    <row r="197" spans="1:16" ht="18.75" hidden="1">
      <c r="A197" s="4"/>
      <c r="B197" s="9"/>
      <c r="C197" s="27">
        <v>184</v>
      </c>
      <c r="D197" s="60">
        <v>459803</v>
      </c>
      <c r="E197" s="60">
        <v>83061</v>
      </c>
      <c r="F197" s="70"/>
      <c r="G197" s="34"/>
      <c r="H197" s="33"/>
      <c r="I197" s="32"/>
      <c r="J197" s="58"/>
      <c r="K197" s="58"/>
      <c r="L197" s="59"/>
      <c r="M197" s="71">
        <v>201.86</v>
      </c>
      <c r="N197" s="31"/>
      <c r="O197" s="7"/>
      <c r="P197" s="8"/>
    </row>
    <row r="198" spans="1:16" ht="18.75" hidden="1">
      <c r="A198" s="4"/>
      <c r="B198" s="9"/>
      <c r="C198" s="27">
        <v>185</v>
      </c>
      <c r="D198" s="60">
        <v>464803</v>
      </c>
      <c r="E198" s="60">
        <v>83021</v>
      </c>
      <c r="F198" s="70"/>
      <c r="G198" s="34"/>
      <c r="H198" s="33"/>
      <c r="I198" s="32"/>
      <c r="J198" s="58"/>
      <c r="K198" s="58"/>
      <c r="L198" s="59"/>
      <c r="M198" s="71">
        <v>346.9</v>
      </c>
      <c r="N198" s="31"/>
      <c r="O198" s="7"/>
      <c r="P198" s="8"/>
    </row>
    <row r="199" spans="1:16" ht="18.75" hidden="1">
      <c r="A199" s="4"/>
      <c r="B199" s="9"/>
      <c r="C199" s="27">
        <v>186</v>
      </c>
      <c r="D199" s="60">
        <v>467</v>
      </c>
      <c r="E199" s="60">
        <v>46111</v>
      </c>
      <c r="F199" s="70"/>
      <c r="G199" s="34"/>
      <c r="H199" s="33"/>
      <c r="I199" s="32"/>
      <c r="J199" s="58"/>
      <c r="K199" s="58"/>
      <c r="L199" s="59"/>
      <c r="M199" s="71">
        <v>5.08</v>
      </c>
      <c r="N199" s="31"/>
      <c r="O199" s="7"/>
      <c r="P199" s="8"/>
    </row>
    <row r="200" spans="1:16" ht="18.75" hidden="1">
      <c r="A200" s="4"/>
      <c r="B200" s="9"/>
      <c r="C200" s="27">
        <v>187</v>
      </c>
      <c r="D200" s="60">
        <v>467801</v>
      </c>
      <c r="E200" s="60">
        <v>84121</v>
      </c>
      <c r="F200" s="70"/>
      <c r="G200" s="34"/>
      <c r="H200" s="33"/>
      <c r="I200" s="32"/>
      <c r="J200" s="58"/>
      <c r="K200" s="58"/>
      <c r="L200" s="59"/>
      <c r="M200" s="71">
        <v>20.32</v>
      </c>
      <c r="N200" s="31"/>
      <c r="O200" s="7"/>
      <c r="P200" s="8"/>
    </row>
    <row r="201" spans="1:16" ht="18.75" hidden="1">
      <c r="A201" s="4"/>
      <c r="B201" s="9"/>
      <c r="C201" s="27">
        <v>188</v>
      </c>
      <c r="D201" s="60">
        <v>476</v>
      </c>
      <c r="E201" s="60">
        <v>46113</v>
      </c>
      <c r="F201" s="70">
        <v>300</v>
      </c>
      <c r="G201" s="34"/>
      <c r="H201" s="33"/>
      <c r="I201" s="32"/>
      <c r="J201" s="58"/>
      <c r="K201" s="58"/>
      <c r="L201" s="59"/>
      <c r="M201" s="71">
        <v>13255.43</v>
      </c>
      <c r="N201" s="31"/>
      <c r="O201" s="7"/>
      <c r="P201" s="8"/>
    </row>
    <row r="202" spans="1:16" ht="18.75" hidden="1">
      <c r="A202" s="4"/>
      <c r="B202" s="9"/>
      <c r="C202" s="27">
        <v>189</v>
      </c>
      <c r="D202" s="60">
        <v>476509</v>
      </c>
      <c r="E202" s="60">
        <v>54121</v>
      </c>
      <c r="F202" s="70"/>
      <c r="G202" s="34"/>
      <c r="H202" s="33"/>
      <c r="I202" s="32"/>
      <c r="J202" s="58"/>
      <c r="K202" s="58"/>
      <c r="L202" s="59"/>
      <c r="M202" s="71">
        <v>366.39</v>
      </c>
      <c r="N202" s="31"/>
      <c r="O202" s="7"/>
      <c r="P202" s="8"/>
    </row>
    <row r="203" spans="1:16" ht="18.75" hidden="1">
      <c r="A203" s="4"/>
      <c r="B203" s="9"/>
      <c r="C203" s="27">
        <v>190</v>
      </c>
      <c r="D203" s="60">
        <v>481801</v>
      </c>
      <c r="E203" s="60">
        <v>84121</v>
      </c>
      <c r="F203" s="70"/>
      <c r="G203" s="34"/>
      <c r="H203" s="33"/>
      <c r="I203" s="32"/>
      <c r="J203" s="58"/>
      <c r="K203" s="58"/>
      <c r="L203" s="59"/>
      <c r="M203" s="71">
        <v>5.08</v>
      </c>
      <c r="N203" s="31"/>
      <c r="O203" s="7"/>
      <c r="P203" s="8"/>
    </row>
    <row r="204" spans="1:16" ht="18.75" hidden="1">
      <c r="A204" s="4"/>
      <c r="B204" s="9"/>
      <c r="C204" s="27">
        <v>191</v>
      </c>
      <c r="D204" s="60">
        <v>485</v>
      </c>
      <c r="E204" s="60">
        <v>46111</v>
      </c>
      <c r="F204" s="70"/>
      <c r="G204" s="34"/>
      <c r="H204" s="33"/>
      <c r="I204" s="32"/>
      <c r="J204" s="58"/>
      <c r="K204" s="58"/>
      <c r="L204" s="59"/>
      <c r="M204" s="71">
        <v>6.89</v>
      </c>
      <c r="N204" s="31"/>
      <c r="O204" s="7"/>
      <c r="P204" s="8"/>
    </row>
    <row r="205" spans="1:16" ht="18.75" hidden="1">
      <c r="A205" s="4"/>
      <c r="B205" s="9"/>
      <c r="C205" s="27">
        <v>192</v>
      </c>
      <c r="D205" s="60">
        <v>485801</v>
      </c>
      <c r="E205" s="60">
        <v>84121</v>
      </c>
      <c r="F205" s="70"/>
      <c r="G205" s="34"/>
      <c r="H205" s="33"/>
      <c r="I205" s="32"/>
      <c r="J205" s="58"/>
      <c r="K205" s="58"/>
      <c r="L205" s="59"/>
      <c r="M205" s="71">
        <v>42.73</v>
      </c>
      <c r="N205" s="31"/>
      <c r="O205" s="7"/>
      <c r="P205" s="8"/>
    </row>
    <row r="206" spans="1:16" ht="18.75" hidden="1">
      <c r="A206" s="4"/>
      <c r="B206" s="9"/>
      <c r="C206" s="27">
        <v>193</v>
      </c>
      <c r="D206" s="60">
        <v>485803</v>
      </c>
      <c r="E206" s="60">
        <v>83061</v>
      </c>
      <c r="F206" s="70"/>
      <c r="G206" s="34"/>
      <c r="H206" s="33"/>
      <c r="I206" s="32"/>
      <c r="J206" s="58"/>
      <c r="K206" s="58"/>
      <c r="L206" s="59"/>
      <c r="M206" s="71">
        <v>145.58000000000001</v>
      </c>
      <c r="N206" s="31"/>
      <c r="O206" s="7"/>
      <c r="P206" s="8"/>
    </row>
    <row r="207" spans="1:16" ht="18.75" hidden="1">
      <c r="A207" s="4"/>
      <c r="B207" s="9"/>
      <c r="C207" s="27">
        <v>194</v>
      </c>
      <c r="D207" s="60">
        <v>487</v>
      </c>
      <c r="E207" s="60">
        <v>46111</v>
      </c>
      <c r="F207" s="70"/>
      <c r="G207" s="34"/>
      <c r="H207" s="33"/>
      <c r="I207" s="32"/>
      <c r="J207" s="58"/>
      <c r="K207" s="58"/>
      <c r="L207" s="59"/>
      <c r="M207" s="71">
        <v>9.1</v>
      </c>
      <c r="N207" s="31"/>
      <c r="O207" s="7"/>
      <c r="P207" s="8"/>
    </row>
    <row r="208" spans="1:16" ht="18.75" hidden="1">
      <c r="A208" s="4"/>
      <c r="B208" s="9"/>
      <c r="C208" s="27">
        <v>195</v>
      </c>
      <c r="D208" s="60">
        <v>487801</v>
      </c>
      <c r="E208" s="60">
        <v>84121</v>
      </c>
      <c r="F208" s="70"/>
      <c r="G208" s="34"/>
      <c r="H208" s="33"/>
      <c r="I208" s="32"/>
      <c r="J208" s="58"/>
      <c r="K208" s="58"/>
      <c r="L208" s="59"/>
      <c r="M208" s="71">
        <v>21.48</v>
      </c>
      <c r="N208" s="31"/>
      <c r="O208" s="7"/>
      <c r="P208" s="8"/>
    </row>
    <row r="209" spans="1:16" ht="18.75" hidden="1">
      <c r="A209" s="4"/>
      <c r="B209" s="9"/>
      <c r="C209" s="27">
        <v>196</v>
      </c>
      <c r="D209" s="60">
        <v>490</v>
      </c>
      <c r="E209" s="60">
        <v>46111</v>
      </c>
      <c r="F209" s="70"/>
      <c r="G209" s="34"/>
      <c r="H209" s="33"/>
      <c r="I209" s="32"/>
      <c r="J209" s="58"/>
      <c r="K209" s="58"/>
      <c r="L209" s="59"/>
      <c r="M209" s="71">
        <v>20.78</v>
      </c>
      <c r="N209" s="31"/>
      <c r="O209" s="7"/>
      <c r="P209" s="8"/>
    </row>
    <row r="210" spans="1:16" ht="18.75" hidden="1">
      <c r="A210" s="4"/>
      <c r="B210" s="9"/>
      <c r="C210" s="27">
        <v>197</v>
      </c>
      <c r="D210" s="60">
        <v>490801</v>
      </c>
      <c r="E210" s="60">
        <v>84121</v>
      </c>
      <c r="F210" s="70"/>
      <c r="G210" s="34"/>
      <c r="H210" s="33"/>
      <c r="I210" s="32"/>
      <c r="J210" s="58"/>
      <c r="K210" s="58"/>
      <c r="L210" s="59"/>
      <c r="M210" s="71">
        <v>15.63</v>
      </c>
      <c r="N210" s="31"/>
      <c r="O210" s="7"/>
      <c r="P210" s="8"/>
    </row>
    <row r="211" spans="1:16" ht="18.75" hidden="1">
      <c r="A211" s="4"/>
      <c r="B211" s="9"/>
      <c r="C211" s="27">
        <v>198</v>
      </c>
      <c r="D211" s="60">
        <v>491</v>
      </c>
      <c r="E211" s="60">
        <v>46111</v>
      </c>
      <c r="F211" s="70"/>
      <c r="G211" s="34"/>
      <c r="H211" s="33"/>
      <c r="I211" s="32"/>
      <c r="J211" s="58"/>
      <c r="K211" s="58"/>
      <c r="L211" s="59"/>
      <c r="M211" s="71">
        <v>5.51</v>
      </c>
      <c r="N211" s="31"/>
      <c r="O211" s="7"/>
      <c r="P211" s="8"/>
    </row>
    <row r="212" spans="1:16" ht="18.75" hidden="1">
      <c r="A212" s="4"/>
      <c r="B212" s="9"/>
      <c r="C212" s="27">
        <v>199</v>
      </c>
      <c r="D212" s="60">
        <v>491801</v>
      </c>
      <c r="E212" s="60">
        <v>84121</v>
      </c>
      <c r="F212" s="70"/>
      <c r="G212" s="34"/>
      <c r="H212" s="33"/>
      <c r="I212" s="32"/>
      <c r="J212" s="58"/>
      <c r="K212" s="58"/>
      <c r="L212" s="59"/>
      <c r="M212" s="71">
        <v>7.35</v>
      </c>
      <c r="N212" s="31"/>
      <c r="O212" s="7"/>
      <c r="P212" s="8"/>
    </row>
    <row r="213" spans="1:16" ht="18.75" hidden="1">
      <c r="A213" s="4"/>
      <c r="B213" s="9"/>
      <c r="C213" s="27">
        <v>200</v>
      </c>
      <c r="D213" s="60">
        <v>504</v>
      </c>
      <c r="E213" s="60">
        <v>46111</v>
      </c>
      <c r="F213" s="70"/>
      <c r="G213" s="34"/>
      <c r="H213" s="33"/>
      <c r="I213" s="32"/>
      <c r="J213" s="58"/>
      <c r="K213" s="58"/>
      <c r="L213" s="59"/>
      <c r="M213" s="71">
        <v>17.420000000000002</v>
      </c>
      <c r="N213" s="31"/>
      <c r="O213" s="7"/>
      <c r="P213" s="8"/>
    </row>
    <row r="214" spans="1:16" ht="18.75" hidden="1">
      <c r="A214" s="4"/>
      <c r="B214" s="9"/>
      <c r="C214" s="27">
        <v>201</v>
      </c>
      <c r="D214" s="60">
        <v>526801</v>
      </c>
      <c r="E214" s="60">
        <v>53061</v>
      </c>
      <c r="F214" s="70"/>
      <c r="G214" s="34"/>
      <c r="H214" s="33"/>
      <c r="I214" s="32"/>
      <c r="J214" s="58"/>
      <c r="K214" s="58"/>
      <c r="L214" s="59"/>
      <c r="M214" s="71">
        <v>714</v>
      </c>
      <c r="N214" s="31"/>
      <c r="O214" s="7"/>
      <c r="P214" s="8"/>
    </row>
    <row r="215" spans="1:16" ht="18.75" hidden="1">
      <c r="A215" s="4"/>
      <c r="B215" s="9"/>
      <c r="C215" s="27">
        <v>202</v>
      </c>
      <c r="D215" s="60">
        <v>528</v>
      </c>
      <c r="E215" s="60">
        <v>53011</v>
      </c>
      <c r="F215" s="70" t="s">
        <v>35</v>
      </c>
      <c r="G215" s="34"/>
      <c r="H215" s="33"/>
      <c r="I215" s="32"/>
      <c r="J215" s="58"/>
      <c r="K215" s="58"/>
      <c r="L215" s="59"/>
      <c r="M215" s="71">
        <v>34533.58</v>
      </c>
      <c r="N215" s="31"/>
      <c r="O215" s="7"/>
      <c r="P215" s="8"/>
    </row>
    <row r="216" spans="1:16" ht="18.75" hidden="1">
      <c r="A216" s="4"/>
      <c r="B216" s="9"/>
      <c r="C216" s="27">
        <v>203</v>
      </c>
      <c r="D216" s="60">
        <v>528</v>
      </c>
      <c r="E216" s="60">
        <v>53014</v>
      </c>
      <c r="F216" s="70"/>
      <c r="G216" s="34"/>
      <c r="H216" s="33"/>
      <c r="I216" s="32"/>
      <c r="J216" s="58"/>
      <c r="K216" s="58"/>
      <c r="L216" s="59"/>
      <c r="M216" s="71">
        <v>15</v>
      </c>
      <c r="N216" s="31"/>
      <c r="O216" s="7"/>
      <c r="P216" s="8"/>
    </row>
    <row r="217" spans="1:16" ht="18.75" hidden="1">
      <c r="A217" s="4"/>
      <c r="B217" s="9"/>
      <c r="C217" s="27">
        <v>204</v>
      </c>
      <c r="D217" s="60">
        <v>528</v>
      </c>
      <c r="E217" s="60">
        <v>53026</v>
      </c>
      <c r="F217" s="70"/>
      <c r="G217" s="34"/>
      <c r="H217" s="33"/>
      <c r="I217" s="32"/>
      <c r="J217" s="58"/>
      <c r="K217" s="58"/>
      <c r="L217" s="59"/>
      <c r="M217" s="71">
        <v>82043.460000000006</v>
      </c>
      <c r="N217" s="31"/>
      <c r="O217" s="7"/>
      <c r="P217" s="8"/>
    </row>
    <row r="218" spans="1:16" ht="18.75" hidden="1">
      <c r="A218" s="4"/>
      <c r="B218" s="9"/>
      <c r="C218" s="27">
        <v>205</v>
      </c>
      <c r="D218" s="60">
        <v>528100</v>
      </c>
      <c r="E218" s="60">
        <v>53061</v>
      </c>
      <c r="F218" s="70"/>
      <c r="G218" s="34"/>
      <c r="H218" s="33"/>
      <c r="I218" s="32"/>
      <c r="J218" s="58"/>
      <c r="K218" s="58"/>
      <c r="L218" s="59"/>
      <c r="M218" s="71">
        <v>3757</v>
      </c>
      <c r="N218" s="31"/>
      <c r="O218" s="7"/>
      <c r="P218" s="8"/>
    </row>
    <row r="219" spans="1:16" ht="18.75" hidden="1">
      <c r="A219" s="4"/>
      <c r="B219" s="9"/>
      <c r="C219" s="27">
        <v>206</v>
      </c>
      <c r="D219" s="60">
        <v>528100</v>
      </c>
      <c r="E219" s="60">
        <v>53063</v>
      </c>
      <c r="F219" s="70"/>
      <c r="G219" s="34"/>
      <c r="H219" s="33"/>
      <c r="I219" s="32"/>
      <c r="J219" s="58"/>
      <c r="K219" s="58"/>
      <c r="L219" s="59"/>
      <c r="M219" s="71">
        <v>93.89</v>
      </c>
      <c r="N219" s="31"/>
      <c r="O219" s="7"/>
      <c r="P219" s="8"/>
    </row>
    <row r="220" spans="1:16" ht="18.75" hidden="1">
      <c r="A220" s="4"/>
      <c r="B220" s="9"/>
      <c r="C220" s="27">
        <v>207</v>
      </c>
      <c r="D220" s="60">
        <v>528100</v>
      </c>
      <c r="E220" s="60">
        <v>54121</v>
      </c>
      <c r="F220" s="70"/>
      <c r="G220" s="34"/>
      <c r="H220" s="33"/>
      <c r="I220" s="32"/>
      <c r="J220" s="58"/>
      <c r="K220" s="58"/>
      <c r="L220" s="59"/>
      <c r="M220" s="71">
        <v>79.03</v>
      </c>
      <c r="N220" s="31"/>
      <c r="O220" s="7"/>
      <c r="P220" s="8"/>
    </row>
    <row r="221" spans="1:16" ht="18.75" hidden="1">
      <c r="A221" s="4"/>
      <c r="B221" s="9"/>
      <c r="C221" s="27">
        <v>208</v>
      </c>
      <c r="D221" s="60">
        <v>532</v>
      </c>
      <c r="E221" s="60">
        <v>53026</v>
      </c>
      <c r="F221" s="70"/>
      <c r="G221" s="34"/>
      <c r="H221" s="33"/>
      <c r="I221" s="32"/>
      <c r="J221" s="58"/>
      <c r="K221" s="58"/>
      <c r="L221" s="59"/>
      <c r="M221" s="71">
        <v>33524.339999999997</v>
      </c>
      <c r="N221" s="31"/>
      <c r="O221" s="7"/>
      <c r="P221" s="8"/>
    </row>
    <row r="222" spans="1:16" ht="18.75" hidden="1">
      <c r="A222" s="4"/>
      <c r="B222" s="9"/>
      <c r="C222" s="27">
        <v>209</v>
      </c>
      <c r="D222" s="60">
        <v>532100</v>
      </c>
      <c r="E222" s="60">
        <v>53063</v>
      </c>
      <c r="F222" s="68"/>
      <c r="G222" s="34"/>
      <c r="H222" s="33"/>
      <c r="I222" s="32"/>
      <c r="J222" s="58"/>
      <c r="K222" s="58"/>
      <c r="L222" s="59"/>
      <c r="M222" s="71">
        <v>88.85</v>
      </c>
      <c r="N222" s="31"/>
      <c r="O222" s="7"/>
      <c r="P222" s="8"/>
    </row>
    <row r="223" spans="1:16" ht="18.75" hidden="1">
      <c r="A223" s="4"/>
      <c r="B223" s="9"/>
      <c r="C223" s="27">
        <v>210</v>
      </c>
      <c r="D223" s="60">
        <v>532100</v>
      </c>
      <c r="E223" s="60">
        <v>54121</v>
      </c>
      <c r="F223" s="68"/>
      <c r="G223" s="34"/>
      <c r="H223" s="33"/>
      <c r="I223" s="32"/>
      <c r="J223" s="58"/>
      <c r="K223" s="58"/>
      <c r="L223" s="59"/>
      <c r="M223" s="71">
        <v>140.47</v>
      </c>
      <c r="N223" s="31"/>
      <c r="O223" s="7"/>
      <c r="P223" s="8"/>
    </row>
    <row r="224" spans="1:16" ht="18.75" hidden="1">
      <c r="A224" s="4"/>
      <c r="B224" s="9"/>
      <c r="C224" s="27">
        <v>211</v>
      </c>
      <c r="D224" s="60">
        <v>532590</v>
      </c>
      <c r="E224" s="60">
        <v>53011</v>
      </c>
      <c r="F224" s="68" t="s">
        <v>35</v>
      </c>
      <c r="G224" s="34"/>
      <c r="H224" s="33"/>
      <c r="I224" s="32"/>
      <c r="J224" s="58"/>
      <c r="K224" s="58"/>
      <c r="L224" s="59"/>
      <c r="M224" s="71">
        <v>18909.3</v>
      </c>
      <c r="N224" s="31"/>
      <c r="O224" s="7"/>
      <c r="P224" s="8"/>
    </row>
    <row r="225" spans="1:16" ht="18.75" hidden="1">
      <c r="A225" s="4"/>
      <c r="B225" s="9"/>
      <c r="C225" s="27">
        <v>212</v>
      </c>
      <c r="D225" s="60">
        <v>533</v>
      </c>
      <c r="E225" s="60">
        <v>53011</v>
      </c>
      <c r="F225" s="70" t="s">
        <v>34</v>
      </c>
      <c r="G225" s="34"/>
      <c r="H225" s="33"/>
      <c r="I225" s="32"/>
      <c r="J225" s="58"/>
      <c r="K225" s="58"/>
      <c r="L225" s="59"/>
      <c r="M225" s="71">
        <v>4665.16</v>
      </c>
      <c r="N225" s="31"/>
      <c r="O225" s="7"/>
      <c r="P225" s="8"/>
    </row>
    <row r="226" spans="1:16" ht="18.75" hidden="1">
      <c r="A226" s="4"/>
      <c r="B226" s="9"/>
      <c r="C226" s="27">
        <v>213</v>
      </c>
      <c r="D226" s="60">
        <v>533</v>
      </c>
      <c r="E226" s="60">
        <v>53014</v>
      </c>
      <c r="F226" s="70"/>
      <c r="G226" s="34"/>
      <c r="H226" s="33"/>
      <c r="I226" s="32"/>
      <c r="J226" s="58"/>
      <c r="K226" s="58"/>
      <c r="L226" s="59"/>
      <c r="M226" s="71">
        <v>262.5</v>
      </c>
      <c r="N226" s="31"/>
      <c r="O226" s="7"/>
      <c r="P226" s="8"/>
    </row>
    <row r="227" spans="1:16" ht="18.75" hidden="1">
      <c r="A227" s="4"/>
      <c r="B227" s="9"/>
      <c r="C227" s="27">
        <v>214</v>
      </c>
      <c r="D227" s="60">
        <v>533</v>
      </c>
      <c r="E227" s="60">
        <v>53021</v>
      </c>
      <c r="F227" s="68"/>
      <c r="G227" s="34"/>
      <c r="H227" s="33"/>
      <c r="I227" s="32"/>
      <c r="J227" s="58"/>
      <c r="K227" s="58"/>
      <c r="L227" s="59"/>
      <c r="M227" s="71">
        <v>14987.87</v>
      </c>
      <c r="N227" s="31"/>
      <c r="O227" s="7"/>
      <c r="P227" s="8"/>
    </row>
    <row r="228" spans="1:16" ht="18.75" hidden="1">
      <c r="A228" s="4"/>
      <c r="B228" s="9"/>
      <c r="C228" s="27">
        <v>215</v>
      </c>
      <c r="D228" s="60">
        <v>533</v>
      </c>
      <c r="E228" s="60">
        <v>53024</v>
      </c>
      <c r="F228" s="68"/>
      <c r="G228" s="34"/>
      <c r="H228" s="33"/>
      <c r="I228" s="32"/>
      <c r="J228" s="58"/>
      <c r="K228" s="58"/>
      <c r="L228" s="59"/>
      <c r="M228" s="71">
        <v>40691.5</v>
      </c>
      <c r="N228" s="31"/>
      <c r="O228" s="7"/>
      <c r="P228" s="8"/>
    </row>
    <row r="229" spans="1:16" ht="18.75" hidden="1">
      <c r="A229" s="4"/>
      <c r="B229" s="9"/>
      <c r="C229" s="27">
        <v>216</v>
      </c>
      <c r="D229" s="60">
        <v>543</v>
      </c>
      <c r="E229" s="60">
        <v>46111</v>
      </c>
      <c r="F229" s="68"/>
      <c r="G229" s="34"/>
      <c r="H229" s="33"/>
      <c r="I229" s="32"/>
      <c r="J229" s="58"/>
      <c r="K229" s="58"/>
      <c r="L229" s="59"/>
      <c r="M229" s="71">
        <v>168.44</v>
      </c>
      <c r="N229" s="31"/>
      <c r="O229" s="7"/>
      <c r="P229" s="8"/>
    </row>
    <row r="230" spans="1:16" ht="18.75" hidden="1">
      <c r="A230" s="4"/>
      <c r="B230" s="9"/>
      <c r="C230" s="27">
        <v>217</v>
      </c>
      <c r="D230" s="60">
        <v>543</v>
      </c>
      <c r="E230" s="60">
        <v>53014</v>
      </c>
      <c r="F230" s="68"/>
      <c r="G230" s="34"/>
      <c r="H230" s="33"/>
      <c r="I230" s="32"/>
      <c r="J230" s="58"/>
      <c r="K230" s="58"/>
      <c r="L230" s="59"/>
      <c r="M230" s="71">
        <v>802.6</v>
      </c>
      <c r="N230" s="31"/>
      <c r="O230" s="7"/>
      <c r="P230" s="8"/>
    </row>
    <row r="231" spans="1:16" ht="18.75" hidden="1">
      <c r="A231" s="4"/>
      <c r="B231" s="9"/>
      <c r="C231" s="27">
        <v>218</v>
      </c>
      <c r="D231" s="60">
        <v>543</v>
      </c>
      <c r="E231" s="60">
        <v>53021</v>
      </c>
      <c r="F231" s="68"/>
      <c r="G231" s="34"/>
      <c r="H231" s="33"/>
      <c r="I231" s="32"/>
      <c r="J231" s="58"/>
      <c r="K231" s="58"/>
      <c r="L231" s="59"/>
      <c r="M231" s="71">
        <v>29687.67</v>
      </c>
      <c r="N231" s="31"/>
      <c r="O231" s="7"/>
      <c r="P231" s="8"/>
    </row>
    <row r="232" spans="1:16" ht="18.75" hidden="1">
      <c r="A232" s="4"/>
      <c r="B232" s="9"/>
      <c r="C232" s="27">
        <v>219</v>
      </c>
      <c r="D232" s="60">
        <v>543</v>
      </c>
      <c r="E232" s="60">
        <v>53024</v>
      </c>
      <c r="F232" s="68"/>
      <c r="G232" s="34"/>
      <c r="H232" s="33"/>
      <c r="I232" s="32"/>
      <c r="J232" s="58"/>
      <c r="K232" s="58"/>
      <c r="L232" s="59"/>
      <c r="M232" s="71">
        <v>84822.78</v>
      </c>
      <c r="N232" s="31"/>
      <c r="O232" s="7"/>
      <c r="P232" s="8"/>
    </row>
    <row r="233" spans="1:16" ht="18.75" hidden="1">
      <c r="A233" s="4"/>
      <c r="B233" s="9"/>
      <c r="C233" s="27">
        <v>220</v>
      </c>
      <c r="D233" s="60">
        <v>543100</v>
      </c>
      <c r="E233" s="60">
        <v>53063</v>
      </c>
      <c r="F233" s="68"/>
      <c r="G233" s="34"/>
      <c r="H233" s="33"/>
      <c r="I233" s="32"/>
      <c r="J233" s="58"/>
      <c r="K233" s="58"/>
      <c r="L233" s="59"/>
      <c r="M233" s="71">
        <v>1235</v>
      </c>
      <c r="N233" s="31"/>
      <c r="O233" s="7"/>
      <c r="P233" s="8"/>
    </row>
    <row r="234" spans="1:16" ht="18.75" hidden="1">
      <c r="A234" s="4"/>
      <c r="B234" s="9"/>
      <c r="C234" s="27">
        <v>221</v>
      </c>
      <c r="D234" s="60">
        <v>543100</v>
      </c>
      <c r="E234" s="60">
        <v>54121</v>
      </c>
      <c r="F234" s="68"/>
      <c r="G234" s="34"/>
      <c r="H234" s="33"/>
      <c r="I234" s="32"/>
      <c r="J234" s="58"/>
      <c r="K234" s="58"/>
      <c r="L234" s="59"/>
      <c r="M234" s="71">
        <v>311.66000000000003</v>
      </c>
      <c r="N234" s="31"/>
      <c r="O234" s="7"/>
      <c r="P234" s="8"/>
    </row>
    <row r="235" spans="1:16" ht="18.75" hidden="1">
      <c r="A235" s="4"/>
      <c r="B235" s="9"/>
      <c r="C235" s="27">
        <v>222</v>
      </c>
      <c r="D235" s="60">
        <v>543590</v>
      </c>
      <c r="E235" s="60">
        <v>53011</v>
      </c>
      <c r="F235" s="68" t="s">
        <v>34</v>
      </c>
      <c r="G235" s="34"/>
      <c r="H235" s="33"/>
      <c r="I235" s="32"/>
      <c r="J235" s="58"/>
      <c r="K235" s="58"/>
      <c r="L235" s="59"/>
      <c r="M235" s="71">
        <v>5546.51</v>
      </c>
      <c r="N235" s="31"/>
      <c r="O235" s="7"/>
      <c r="P235" s="8"/>
    </row>
    <row r="236" spans="1:16" ht="18.75" hidden="1">
      <c r="A236" s="4"/>
      <c r="B236" s="9"/>
      <c r="C236" s="27">
        <v>223</v>
      </c>
      <c r="D236" s="60">
        <v>543590</v>
      </c>
      <c r="E236" s="60">
        <v>53011</v>
      </c>
      <c r="F236" s="68" t="s">
        <v>37</v>
      </c>
      <c r="G236" s="34"/>
      <c r="H236" s="33"/>
      <c r="I236" s="32"/>
      <c r="J236" s="58"/>
      <c r="K236" s="58"/>
      <c r="L236" s="59"/>
      <c r="M236" s="31">
        <v>3206.7</v>
      </c>
      <c r="N236" s="31"/>
      <c r="O236" s="7"/>
      <c r="P236" s="8"/>
    </row>
    <row r="237" spans="1:16" ht="18.75" hidden="1">
      <c r="A237" s="4"/>
      <c r="B237" s="9"/>
      <c r="C237" s="27">
        <v>224</v>
      </c>
      <c r="D237" s="60">
        <v>560</v>
      </c>
      <c r="E237" s="60">
        <v>53021</v>
      </c>
      <c r="F237" s="68"/>
      <c r="G237" s="34"/>
      <c r="H237" s="33"/>
      <c r="I237" s="32"/>
      <c r="J237" s="58"/>
      <c r="K237" s="58"/>
      <c r="L237" s="59"/>
      <c r="M237" s="31">
        <v>597.42999999999995</v>
      </c>
      <c r="N237" s="31"/>
      <c r="O237" s="7"/>
      <c r="P237" s="8"/>
    </row>
    <row r="238" spans="1:16" ht="18.75">
      <c r="A238" s="4"/>
      <c r="B238" s="9"/>
      <c r="C238" s="27">
        <v>225</v>
      </c>
      <c r="D238" s="60">
        <v>560</v>
      </c>
      <c r="E238" s="60">
        <v>53024</v>
      </c>
      <c r="F238" s="68"/>
      <c r="G238" s="34"/>
      <c r="H238" s="33"/>
      <c r="I238" s="32"/>
      <c r="J238" s="58"/>
      <c r="K238" s="58"/>
      <c r="L238" s="59"/>
      <c r="M238" s="31">
        <v>973.25</v>
      </c>
      <c r="N238" s="31"/>
      <c r="O238" s="7"/>
      <c r="P238" s="8"/>
    </row>
    <row r="239" spans="1:16" ht="18.75">
      <c r="A239" s="4"/>
      <c r="B239" s="9"/>
      <c r="C239" s="27">
        <v>226</v>
      </c>
      <c r="D239" s="60">
        <v>560100</v>
      </c>
      <c r="E239" s="60">
        <v>54121</v>
      </c>
      <c r="F239" s="68"/>
      <c r="G239" s="34"/>
      <c r="H239" s="33"/>
      <c r="I239" s="32"/>
      <c r="J239" s="58"/>
      <c r="K239" s="58"/>
      <c r="L239" s="59"/>
      <c r="M239" s="31">
        <v>84.35</v>
      </c>
      <c r="N239" s="31"/>
      <c r="O239" s="7"/>
      <c r="P239" s="8"/>
    </row>
    <row r="240" spans="1:16" ht="18.75">
      <c r="A240" s="4"/>
      <c r="B240" s="9"/>
      <c r="C240" s="27">
        <v>227</v>
      </c>
      <c r="D240" s="60">
        <v>566100</v>
      </c>
      <c r="E240" s="60">
        <v>54121</v>
      </c>
      <c r="F240" s="68"/>
      <c r="G240" s="34"/>
      <c r="H240" s="33"/>
      <c r="I240" s="32"/>
      <c r="J240" s="58"/>
      <c r="K240" s="58"/>
      <c r="L240" s="59"/>
      <c r="M240" s="31">
        <v>316.02</v>
      </c>
      <c r="N240" s="31"/>
      <c r="O240" s="7"/>
      <c r="P240" s="8"/>
    </row>
    <row r="241" spans="1:21" ht="18.75">
      <c r="A241" s="4"/>
      <c r="B241" s="9"/>
      <c r="C241" s="27">
        <v>228</v>
      </c>
      <c r="D241" s="60">
        <v>860802</v>
      </c>
      <c r="E241" s="60">
        <v>84121</v>
      </c>
      <c r="F241" s="68"/>
      <c r="G241" s="34"/>
      <c r="H241" s="33"/>
      <c r="I241" s="32"/>
      <c r="J241" s="58"/>
      <c r="K241" s="58"/>
      <c r="L241" s="59"/>
      <c r="M241" s="31">
        <v>95.19</v>
      </c>
      <c r="N241" s="31"/>
      <c r="O241" s="7"/>
      <c r="P241" s="8"/>
    </row>
    <row r="242" spans="1:21" ht="18.75">
      <c r="A242" s="4"/>
      <c r="B242" s="9"/>
      <c r="C242" s="27">
        <v>229</v>
      </c>
      <c r="D242" s="60">
        <v>862</v>
      </c>
      <c r="E242" s="60">
        <v>46111</v>
      </c>
      <c r="F242" s="68"/>
      <c r="G242" s="34"/>
      <c r="H242" s="33"/>
      <c r="I242" s="32"/>
      <c r="J242" s="58"/>
      <c r="K242" s="58"/>
      <c r="L242" s="59"/>
      <c r="M242" s="31">
        <v>2928</v>
      </c>
      <c r="N242" s="31"/>
      <c r="O242" s="7"/>
      <c r="P242" s="8"/>
    </row>
    <row r="243" spans="1:21" ht="18.75">
      <c r="A243" s="4"/>
      <c r="B243" s="9"/>
      <c r="C243" s="27">
        <v>230</v>
      </c>
      <c r="D243" s="60">
        <v>862310</v>
      </c>
      <c r="E243" s="60">
        <v>54121</v>
      </c>
      <c r="F243" s="68"/>
      <c r="G243" s="34"/>
      <c r="H243" s="33"/>
      <c r="I243" s="32"/>
      <c r="J243" s="58"/>
      <c r="K243" s="58"/>
      <c r="L243" s="59"/>
      <c r="M243" s="31">
        <v>7.31</v>
      </c>
      <c r="N243" s="31"/>
      <c r="O243" s="7"/>
      <c r="P243" s="8"/>
      <c r="U243" s="72"/>
    </row>
    <row r="244" spans="1:21" ht="18.75">
      <c r="A244" s="4"/>
      <c r="B244" s="9"/>
      <c r="C244" s="27">
        <v>231</v>
      </c>
      <c r="D244" s="60">
        <v>862509</v>
      </c>
      <c r="E244" s="60">
        <v>54121</v>
      </c>
      <c r="F244" s="68"/>
      <c r="G244" s="34"/>
      <c r="H244" s="33"/>
      <c r="I244" s="32"/>
      <c r="J244" s="58"/>
      <c r="K244" s="58"/>
      <c r="L244" s="59"/>
      <c r="M244" s="31">
        <v>134.47</v>
      </c>
      <c r="N244" s="31"/>
      <c r="O244" s="7"/>
      <c r="P244" s="8"/>
    </row>
    <row r="245" spans="1:21" ht="18.75">
      <c r="A245" s="4"/>
      <c r="B245" s="9"/>
      <c r="C245" s="27">
        <v>232</v>
      </c>
      <c r="D245" s="60">
        <v>370809</v>
      </c>
      <c r="E245" s="60">
        <v>84121</v>
      </c>
      <c r="F245" s="68"/>
      <c r="G245" s="34"/>
      <c r="H245" s="33"/>
      <c r="I245" s="32"/>
      <c r="J245" s="58"/>
      <c r="K245" s="58"/>
      <c r="L245" s="59"/>
      <c r="M245" s="31">
        <v>22.96</v>
      </c>
      <c r="N245" s="31"/>
      <c r="O245" s="7"/>
      <c r="P245" s="8"/>
    </row>
    <row r="246" spans="1:21" ht="18.75">
      <c r="A246" s="4"/>
      <c r="B246" s="9"/>
      <c r="C246" s="27">
        <v>233</v>
      </c>
      <c r="D246" s="60">
        <v>110</v>
      </c>
      <c r="E246" s="60">
        <v>20137</v>
      </c>
      <c r="F246" s="68"/>
      <c r="G246" s="34"/>
      <c r="H246" s="33"/>
      <c r="I246" s="32"/>
      <c r="J246" s="58"/>
      <c r="K246" s="58"/>
      <c r="L246" s="59"/>
      <c r="M246" s="31">
        <v>-935599.6</v>
      </c>
      <c r="N246" s="31"/>
      <c r="O246" s="7"/>
      <c r="P246" s="8"/>
      <c r="U246" s="72"/>
    </row>
    <row r="247" spans="1:21" ht="18.75">
      <c r="A247" s="4"/>
      <c r="B247" s="9"/>
      <c r="C247" s="8"/>
      <c r="D247" s="8"/>
      <c r="E247" s="8"/>
      <c r="F247" s="67"/>
      <c r="G247" s="8"/>
      <c r="H247" s="8"/>
      <c r="I247" s="10"/>
      <c r="J247" s="10"/>
      <c r="K247" s="44" t="s">
        <v>0</v>
      </c>
      <c r="L247" s="10"/>
      <c r="M247" s="26">
        <f>SUM(M14:M246)</f>
        <v>0</v>
      </c>
      <c r="N247" s="26">
        <f>SUM(N14:N246)</f>
        <v>0</v>
      </c>
      <c r="O247" s="7"/>
      <c r="P247" s="8"/>
    </row>
    <row r="248" spans="1:21" ht="18.75">
      <c r="A248" s="4"/>
      <c r="B248" s="9"/>
      <c r="C248" s="8"/>
      <c r="D248" s="8"/>
      <c r="E248" s="8"/>
      <c r="F248" s="67"/>
      <c r="G248" s="8"/>
      <c r="H248" s="8"/>
      <c r="I248" s="8"/>
      <c r="J248" s="8"/>
      <c r="K248" s="8"/>
      <c r="L248" s="8"/>
      <c r="M248" s="8"/>
      <c r="N248" s="8"/>
      <c r="O248" s="7"/>
      <c r="P248" s="8"/>
    </row>
    <row r="249" spans="1:21" ht="18.75">
      <c r="A249" s="4"/>
      <c r="B249" s="9"/>
      <c r="C249" s="8"/>
      <c r="D249" s="8"/>
      <c r="E249" s="8"/>
      <c r="F249" s="67"/>
      <c r="G249" s="8"/>
      <c r="H249" s="8"/>
      <c r="I249" s="8"/>
      <c r="J249" s="8"/>
      <c r="K249" s="8"/>
      <c r="L249" s="8"/>
      <c r="M249" s="8"/>
      <c r="N249" s="8"/>
      <c r="O249" s="7"/>
      <c r="P249" s="8"/>
    </row>
    <row r="250" spans="1:21" ht="18.75">
      <c r="A250" s="4"/>
      <c r="B250" s="9"/>
      <c r="C250" s="8"/>
      <c r="D250" s="8"/>
      <c r="E250" s="8"/>
      <c r="F250" s="67"/>
      <c r="G250" s="8"/>
      <c r="H250" s="8"/>
      <c r="I250" s="8"/>
      <c r="J250" s="8"/>
      <c r="K250" s="8"/>
      <c r="L250" s="8"/>
      <c r="N250" s="8"/>
      <c r="O250" s="7"/>
    </row>
    <row r="251" spans="1:21" ht="18.75">
      <c r="A251" s="4"/>
      <c r="B251" s="9"/>
      <c r="C251" s="77" t="s">
        <v>40</v>
      </c>
      <c r="D251" s="78"/>
      <c r="E251" s="78"/>
      <c r="F251" s="78"/>
      <c r="G251" s="78"/>
      <c r="H251" s="78"/>
      <c r="I251" s="79"/>
      <c r="J251" s="10"/>
      <c r="K251" s="10"/>
      <c r="L251" s="8"/>
      <c r="N251" s="8"/>
      <c r="O251" s="7"/>
    </row>
    <row r="252" spans="1:21" ht="18.75" customHeight="1">
      <c r="A252" s="4"/>
      <c r="B252" s="9"/>
      <c r="C252" s="101" t="s">
        <v>274</v>
      </c>
      <c r="D252" s="102"/>
      <c r="E252" s="102"/>
      <c r="F252" s="102"/>
      <c r="G252" s="102"/>
      <c r="H252" s="102"/>
      <c r="I252" s="103"/>
      <c r="J252" s="10"/>
      <c r="K252" s="10"/>
      <c r="L252" s="8"/>
      <c r="N252" s="8"/>
      <c r="O252" s="7"/>
    </row>
    <row r="253" spans="1:21" ht="20.25">
      <c r="A253" s="4"/>
      <c r="B253" s="6"/>
      <c r="C253" s="101"/>
      <c r="D253" s="102"/>
      <c r="E253" s="102"/>
      <c r="F253" s="102"/>
      <c r="G253" s="102"/>
      <c r="H253" s="102"/>
      <c r="I253" s="103"/>
      <c r="J253" s="10"/>
      <c r="K253" s="10"/>
      <c r="L253" s="53" t="s">
        <v>26</v>
      </c>
      <c r="M253" s="46"/>
      <c r="N253" s="47" t="s">
        <v>27</v>
      </c>
      <c r="O253" s="5"/>
    </row>
    <row r="254" spans="1:21" ht="20.25">
      <c r="A254" s="4"/>
      <c r="B254" s="6"/>
      <c r="C254" s="101"/>
      <c r="D254" s="102"/>
      <c r="E254" s="102"/>
      <c r="F254" s="102"/>
      <c r="G254" s="102"/>
      <c r="H254" s="102"/>
      <c r="I254" s="103"/>
      <c r="J254" s="10"/>
      <c r="K254" s="10"/>
      <c r="L254" s="80"/>
      <c r="M254" s="48"/>
      <c r="N254" s="51">
        <f ca="1">NOW()</f>
        <v>46070.600210185185</v>
      </c>
      <c r="O254" s="5"/>
    </row>
    <row r="255" spans="1:21" ht="20.25">
      <c r="A255" s="4"/>
      <c r="B255" s="6"/>
      <c r="C255" s="101"/>
      <c r="D255" s="102"/>
      <c r="E255" s="102"/>
      <c r="F255" s="102"/>
      <c r="G255" s="102"/>
      <c r="H255" s="102"/>
      <c r="I255" s="103"/>
      <c r="J255" s="10"/>
      <c r="K255" s="10"/>
      <c r="L255" s="81"/>
      <c r="M255" s="49"/>
      <c r="N255" s="52"/>
      <c r="O255" s="5"/>
    </row>
    <row r="256" spans="1:21" ht="20.25">
      <c r="A256" s="4"/>
      <c r="B256" s="6"/>
      <c r="C256" s="101"/>
      <c r="D256" s="102"/>
      <c r="E256" s="102"/>
      <c r="F256" s="102"/>
      <c r="G256" s="102"/>
      <c r="H256" s="102"/>
      <c r="I256" s="103"/>
      <c r="J256" s="10"/>
      <c r="K256" s="10"/>
      <c r="L256" s="53" t="s">
        <v>28</v>
      </c>
      <c r="M256" s="46"/>
      <c r="N256" s="47" t="s">
        <v>27</v>
      </c>
      <c r="O256" s="5"/>
    </row>
    <row r="257" spans="1:15" ht="20.25">
      <c r="A257" s="4"/>
      <c r="B257" s="6"/>
      <c r="C257" s="101"/>
      <c r="D257" s="102"/>
      <c r="E257" s="102"/>
      <c r="F257" s="102"/>
      <c r="G257" s="102"/>
      <c r="H257" s="102"/>
      <c r="I257" s="103"/>
      <c r="J257" s="10"/>
      <c r="K257" s="10"/>
      <c r="L257" s="80"/>
      <c r="M257" s="48"/>
      <c r="N257" s="51">
        <f ca="1">NOW()</f>
        <v>46070.600210185185</v>
      </c>
      <c r="O257" s="5"/>
    </row>
    <row r="258" spans="1:15" ht="20.25">
      <c r="A258" s="4"/>
      <c r="B258" s="6"/>
      <c r="C258" s="104"/>
      <c r="D258" s="105"/>
      <c r="E258" s="105"/>
      <c r="F258" s="105"/>
      <c r="G258" s="105"/>
      <c r="H258" s="105"/>
      <c r="I258" s="106"/>
      <c r="J258" s="10"/>
      <c r="K258" s="10"/>
      <c r="L258" s="81"/>
      <c r="M258" s="49"/>
      <c r="N258" s="52"/>
      <c r="O258" s="5"/>
    </row>
    <row r="259" spans="1:15" ht="19.5" thickBot="1">
      <c r="A259" s="4"/>
      <c r="B259" s="3"/>
      <c r="C259" s="2"/>
      <c r="D259" s="2"/>
      <c r="E259" s="2"/>
      <c r="F259" s="69"/>
      <c r="G259" s="2"/>
      <c r="H259" s="2"/>
      <c r="I259" s="2"/>
      <c r="J259" s="2"/>
      <c r="K259" s="2"/>
      <c r="L259" s="25"/>
      <c r="M259" s="50"/>
      <c r="N259" s="2"/>
      <c r="O259" s="1"/>
    </row>
    <row r="260" spans="1:15" ht="17.25" thickTop="1"/>
  </sheetData>
  <dataConsolidate/>
  <mergeCells count="14">
    <mergeCell ref="A1:O1"/>
    <mergeCell ref="D4:M4"/>
    <mergeCell ref="K7:L7"/>
    <mergeCell ref="I13:L13"/>
    <mergeCell ref="M7:N7"/>
    <mergeCell ref="M8:N8"/>
    <mergeCell ref="K9:M9"/>
    <mergeCell ref="K10:M10"/>
    <mergeCell ref="I14:L14"/>
    <mergeCell ref="I15:L15"/>
    <mergeCell ref="C251:I251"/>
    <mergeCell ref="C252:I258"/>
    <mergeCell ref="L254:L255"/>
    <mergeCell ref="L257:L258"/>
  </mergeCells>
  <phoneticPr fontId="0" type="noConversion"/>
  <dataValidations count="7">
    <dataValidation type="textLength" allowBlank="1" showInputMessage="1" showErrorMessage="1" errorTitle="Validation Error Message" error="Account Number can be up to 29 characters in length." sqref="D14:F246">
      <formula1>0</formula1>
      <formula2>29</formula2>
    </dataValidation>
    <dataValidation type="textLength" allowBlank="1" showInputMessage="1" showErrorMessage="1" errorTitle="Validation Error Message" error="Sub-Ledger can be up to 8 characters in length." sqref="G14:G246">
      <formula1>0</formula1>
      <formula2>8</formula2>
    </dataValidation>
    <dataValidation type="textLength" allowBlank="1" showInputMessage="1" showErrorMessage="1" errorTitle="Validation Error Message" error="Type can only be 1 character in length." sqref="H14:H246">
      <formula1>0</formula1>
      <formula2>1</formula2>
    </dataValidation>
    <dataValidation allowBlank="1" showInputMessage="1" showErrorMessage="1" errorTitle="Validation Error Message" error="Transaction Description can be up to 30 characters in length." sqref="I14:L246"/>
    <dataValidation type="list" allowBlank="1" showInputMessage="1" showErrorMessage="1" errorTitle="Validation Error Message" error="Currency data is invalid, please try again." sqref="N9">
      <formula1>Currency</formula1>
    </dataValidation>
    <dataValidation type="list" allowBlank="1" showInputMessage="1" showErrorMessage="1" errorTitle="Validation Error Message" error="Current Document Company is invalid, please try again." sqref="E8">
      <formula1>Company</formula1>
    </dataValidation>
    <dataValidation type="list" allowBlank="1" showInputMessage="1" showErrorMessage="1" sqref="E7">
      <formula1>DocType</formula1>
    </dataValidation>
  </dataValidations>
  <pageMargins left="0" right="0" top="0" bottom="0" header="0.5" footer="0.5"/>
  <pageSetup scale="59" fitToHeight="5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">
                <anchor moveWithCells="1" sizeWithCells="1">
                  <from>
                    <xdr:col>8</xdr:col>
                    <xdr:colOff>95250</xdr:colOff>
                    <xdr:row>5</xdr:row>
                    <xdr:rowOff>9525</xdr:rowOff>
                  </from>
                  <to>
                    <xdr:col>9</xdr:col>
                    <xdr:colOff>0</xdr:colOff>
                    <xdr:row>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33"/>
  <sheetViews>
    <sheetView topLeftCell="A197" workbookViewId="0">
      <selection activeCell="M14" sqref="M14"/>
    </sheetView>
  </sheetViews>
  <sheetFormatPr defaultRowHeight="16.5"/>
  <sheetData>
    <row r="1" spans="1:1">
      <c r="A1" t="s">
        <v>41</v>
      </c>
    </row>
    <row r="2" spans="1:1">
      <c r="A2" t="s">
        <v>42</v>
      </c>
    </row>
    <row r="3" spans="1:1">
      <c r="A3" t="s">
        <v>43</v>
      </c>
    </row>
    <row r="4" spans="1:1">
      <c r="A4" t="s">
        <v>44</v>
      </c>
    </row>
    <row r="5" spans="1:1">
      <c r="A5" t="s">
        <v>45</v>
      </c>
    </row>
    <row r="6" spans="1:1">
      <c r="A6" t="s">
        <v>46</v>
      </c>
    </row>
    <row r="7" spans="1:1">
      <c r="A7" t="s">
        <v>47</v>
      </c>
    </row>
    <row r="8" spans="1:1">
      <c r="A8" t="s">
        <v>48</v>
      </c>
    </row>
    <row r="9" spans="1:1">
      <c r="A9" t="s">
        <v>49</v>
      </c>
    </row>
    <row r="10" spans="1:1">
      <c r="A10" t="s">
        <v>50</v>
      </c>
    </row>
    <row r="11" spans="1:1">
      <c r="A11" t="s">
        <v>51</v>
      </c>
    </row>
    <row r="12" spans="1:1">
      <c r="A12" t="s">
        <v>52</v>
      </c>
    </row>
    <row r="13" spans="1:1">
      <c r="A13" t="s">
        <v>53</v>
      </c>
    </row>
    <row r="14" spans="1:1">
      <c r="A14" t="s">
        <v>54</v>
      </c>
    </row>
    <row r="15" spans="1:1">
      <c r="A15" t="s">
        <v>55</v>
      </c>
    </row>
    <row r="16" spans="1:1">
      <c r="A16" t="s">
        <v>56</v>
      </c>
    </row>
    <row r="17" spans="1:1">
      <c r="A17" t="s">
        <v>57</v>
      </c>
    </row>
    <row r="18" spans="1:1">
      <c r="A18" t="s">
        <v>58</v>
      </c>
    </row>
    <row r="19" spans="1:1">
      <c r="A19" t="s">
        <v>59</v>
      </c>
    </row>
    <row r="20" spans="1:1">
      <c r="A20" t="s">
        <v>60</v>
      </c>
    </row>
    <row r="21" spans="1:1">
      <c r="A21" t="s">
        <v>61</v>
      </c>
    </row>
    <row r="22" spans="1:1">
      <c r="A22" t="s">
        <v>62</v>
      </c>
    </row>
    <row r="23" spans="1:1">
      <c r="A23" t="s">
        <v>63</v>
      </c>
    </row>
    <row r="24" spans="1:1">
      <c r="A24" t="s">
        <v>64</v>
      </c>
    </row>
    <row r="25" spans="1:1">
      <c r="A25" t="s">
        <v>65</v>
      </c>
    </row>
    <row r="26" spans="1:1">
      <c r="A26" t="s">
        <v>66</v>
      </c>
    </row>
    <row r="27" spans="1:1">
      <c r="A27" t="s">
        <v>67</v>
      </c>
    </row>
    <row r="28" spans="1:1">
      <c r="A28" t="s">
        <v>68</v>
      </c>
    </row>
    <row r="29" spans="1:1">
      <c r="A29" t="s">
        <v>69</v>
      </c>
    </row>
    <row r="30" spans="1:1">
      <c r="A30" t="s">
        <v>70</v>
      </c>
    </row>
    <row r="31" spans="1:1">
      <c r="A31" t="s">
        <v>71</v>
      </c>
    </row>
    <row r="32" spans="1:1">
      <c r="A32" t="s">
        <v>72</v>
      </c>
    </row>
    <row r="33" spans="1:1">
      <c r="A33" t="s">
        <v>73</v>
      </c>
    </row>
    <row r="34" spans="1:1">
      <c r="A34" t="s">
        <v>74</v>
      </c>
    </row>
    <row r="35" spans="1:1">
      <c r="A35" t="s">
        <v>75</v>
      </c>
    </row>
    <row r="36" spans="1:1">
      <c r="A36" t="s">
        <v>76</v>
      </c>
    </row>
    <row r="37" spans="1:1">
      <c r="A37" t="s">
        <v>77</v>
      </c>
    </row>
    <row r="38" spans="1:1">
      <c r="A38" t="s">
        <v>78</v>
      </c>
    </row>
    <row r="39" spans="1:1">
      <c r="A39" t="s">
        <v>79</v>
      </c>
    </row>
    <row r="40" spans="1:1">
      <c r="A40" t="s">
        <v>80</v>
      </c>
    </row>
    <row r="41" spans="1:1">
      <c r="A41" t="s">
        <v>81</v>
      </c>
    </row>
    <row r="42" spans="1:1">
      <c r="A42" t="s">
        <v>82</v>
      </c>
    </row>
    <row r="43" spans="1:1">
      <c r="A43" t="s">
        <v>83</v>
      </c>
    </row>
    <row r="44" spans="1:1">
      <c r="A44" t="s">
        <v>84</v>
      </c>
    </row>
    <row r="45" spans="1:1">
      <c r="A45" t="s">
        <v>85</v>
      </c>
    </row>
    <row r="46" spans="1:1">
      <c r="A46" t="s">
        <v>86</v>
      </c>
    </row>
    <row r="47" spans="1:1">
      <c r="A47" t="s">
        <v>87</v>
      </c>
    </row>
    <row r="48" spans="1:1">
      <c r="A48" t="s">
        <v>88</v>
      </c>
    </row>
    <row r="49" spans="1:1">
      <c r="A49" t="s">
        <v>89</v>
      </c>
    </row>
    <row r="50" spans="1:1">
      <c r="A50" t="s">
        <v>90</v>
      </c>
    </row>
    <row r="51" spans="1:1">
      <c r="A51" t="s">
        <v>91</v>
      </c>
    </row>
    <row r="52" spans="1:1">
      <c r="A52" t="s">
        <v>92</v>
      </c>
    </row>
    <row r="53" spans="1:1">
      <c r="A53" t="s">
        <v>93</v>
      </c>
    </row>
    <row r="54" spans="1:1">
      <c r="A54" t="s">
        <v>94</v>
      </c>
    </row>
    <row r="55" spans="1:1">
      <c r="A55" t="s">
        <v>95</v>
      </c>
    </row>
    <row r="56" spans="1:1">
      <c r="A56" t="s">
        <v>96</v>
      </c>
    </row>
    <row r="57" spans="1:1">
      <c r="A57" t="s">
        <v>97</v>
      </c>
    </row>
    <row r="58" spans="1:1">
      <c r="A58" t="s">
        <v>98</v>
      </c>
    </row>
    <row r="59" spans="1:1">
      <c r="A59" t="s">
        <v>99</v>
      </c>
    </row>
    <row r="60" spans="1:1">
      <c r="A60" t="s">
        <v>100</v>
      </c>
    </row>
    <row r="61" spans="1:1">
      <c r="A61" t="s">
        <v>101</v>
      </c>
    </row>
    <row r="62" spans="1:1">
      <c r="A62" t="s">
        <v>102</v>
      </c>
    </row>
    <row r="63" spans="1:1">
      <c r="A63" t="s">
        <v>103</v>
      </c>
    </row>
    <row r="64" spans="1:1">
      <c r="A64" t="s">
        <v>104</v>
      </c>
    </row>
    <row r="65" spans="1:1">
      <c r="A65" t="s">
        <v>105</v>
      </c>
    </row>
    <row r="66" spans="1:1">
      <c r="A66" t="s">
        <v>106</v>
      </c>
    </row>
    <row r="67" spans="1:1">
      <c r="A67" t="s">
        <v>107</v>
      </c>
    </row>
    <row r="68" spans="1:1">
      <c r="A68" t="s">
        <v>108</v>
      </c>
    </row>
    <row r="69" spans="1:1">
      <c r="A69" t="s">
        <v>109</v>
      </c>
    </row>
    <row r="70" spans="1:1">
      <c r="A70" t="s">
        <v>110</v>
      </c>
    </row>
    <row r="71" spans="1:1">
      <c r="A71" t="s">
        <v>111</v>
      </c>
    </row>
    <row r="72" spans="1:1">
      <c r="A72" t="s">
        <v>112</v>
      </c>
    </row>
    <row r="73" spans="1:1">
      <c r="A73" t="s">
        <v>113</v>
      </c>
    </row>
    <row r="74" spans="1:1">
      <c r="A74" t="s">
        <v>114</v>
      </c>
    </row>
    <row r="75" spans="1:1">
      <c r="A75" t="s">
        <v>115</v>
      </c>
    </row>
    <row r="76" spans="1:1">
      <c r="A76" t="s">
        <v>116</v>
      </c>
    </row>
    <row r="77" spans="1:1">
      <c r="A77" t="s">
        <v>117</v>
      </c>
    </row>
    <row r="78" spans="1:1">
      <c r="A78" t="s">
        <v>118</v>
      </c>
    </row>
    <row r="79" spans="1:1">
      <c r="A79" t="s">
        <v>119</v>
      </c>
    </row>
    <row r="80" spans="1:1">
      <c r="A80" t="s">
        <v>120</v>
      </c>
    </row>
    <row r="81" spans="1:1">
      <c r="A81" t="s">
        <v>121</v>
      </c>
    </row>
    <row r="82" spans="1:1">
      <c r="A82" t="s">
        <v>122</v>
      </c>
    </row>
    <row r="83" spans="1:1">
      <c r="A83" t="s">
        <v>123</v>
      </c>
    </row>
    <row r="84" spans="1:1">
      <c r="A84" t="s">
        <v>124</v>
      </c>
    </row>
    <row r="85" spans="1:1">
      <c r="A85" t="s">
        <v>125</v>
      </c>
    </row>
    <row r="86" spans="1:1">
      <c r="A86" t="s">
        <v>126</v>
      </c>
    </row>
    <row r="87" spans="1:1">
      <c r="A87" t="s">
        <v>127</v>
      </c>
    </row>
    <row r="88" spans="1:1">
      <c r="A88" t="s">
        <v>128</v>
      </c>
    </row>
    <row r="89" spans="1:1">
      <c r="A89" t="s">
        <v>129</v>
      </c>
    </row>
    <row r="90" spans="1:1">
      <c r="A90" t="s">
        <v>130</v>
      </c>
    </row>
    <row r="91" spans="1:1">
      <c r="A91" t="s">
        <v>131</v>
      </c>
    </row>
    <row r="92" spans="1:1">
      <c r="A92" t="s">
        <v>132</v>
      </c>
    </row>
    <row r="93" spans="1:1">
      <c r="A93" t="s">
        <v>133</v>
      </c>
    </row>
    <row r="94" spans="1:1">
      <c r="A94" t="s">
        <v>134</v>
      </c>
    </row>
    <row r="95" spans="1:1">
      <c r="A95" t="s">
        <v>135</v>
      </c>
    </row>
    <row r="96" spans="1:1">
      <c r="A96" t="s">
        <v>136</v>
      </c>
    </row>
    <row r="97" spans="1:1">
      <c r="A97" t="s">
        <v>137</v>
      </c>
    </row>
    <row r="98" spans="1:1">
      <c r="A98" t="s">
        <v>138</v>
      </c>
    </row>
    <row r="99" spans="1:1">
      <c r="A99" t="s">
        <v>139</v>
      </c>
    </row>
    <row r="100" spans="1:1">
      <c r="A100" t="s">
        <v>140</v>
      </c>
    </row>
    <row r="101" spans="1:1">
      <c r="A101" t="s">
        <v>141</v>
      </c>
    </row>
    <row r="102" spans="1:1">
      <c r="A102" t="s">
        <v>142</v>
      </c>
    </row>
    <row r="103" spans="1:1">
      <c r="A103" t="s">
        <v>143</v>
      </c>
    </row>
    <row r="104" spans="1:1">
      <c r="A104" t="s">
        <v>144</v>
      </c>
    </row>
    <row r="105" spans="1:1">
      <c r="A105" t="s">
        <v>145</v>
      </c>
    </row>
    <row r="106" spans="1:1">
      <c r="A106" t="s">
        <v>146</v>
      </c>
    </row>
    <row r="107" spans="1:1">
      <c r="A107" t="s">
        <v>147</v>
      </c>
    </row>
    <row r="108" spans="1:1">
      <c r="A108" t="s">
        <v>148</v>
      </c>
    </row>
    <row r="109" spans="1:1">
      <c r="A109" t="s">
        <v>149</v>
      </c>
    </row>
    <row r="110" spans="1:1">
      <c r="A110" t="s">
        <v>150</v>
      </c>
    </row>
    <row r="111" spans="1:1">
      <c r="A111" t="s">
        <v>151</v>
      </c>
    </row>
    <row r="112" spans="1:1">
      <c r="A112" t="s">
        <v>152</v>
      </c>
    </row>
    <row r="113" spans="1:1">
      <c r="A113" t="s">
        <v>153</v>
      </c>
    </row>
    <row r="114" spans="1:1">
      <c r="A114" t="s">
        <v>154</v>
      </c>
    </row>
    <row r="115" spans="1:1">
      <c r="A115" t="s">
        <v>155</v>
      </c>
    </row>
    <row r="116" spans="1:1">
      <c r="A116" t="s">
        <v>156</v>
      </c>
    </row>
    <row r="117" spans="1:1">
      <c r="A117" t="s">
        <v>157</v>
      </c>
    </row>
    <row r="118" spans="1:1">
      <c r="A118" t="s">
        <v>158</v>
      </c>
    </row>
    <row r="119" spans="1:1">
      <c r="A119" t="s">
        <v>159</v>
      </c>
    </row>
    <row r="120" spans="1:1">
      <c r="A120" t="s">
        <v>160</v>
      </c>
    </row>
    <row r="121" spans="1:1">
      <c r="A121" t="s">
        <v>161</v>
      </c>
    </row>
    <row r="122" spans="1:1">
      <c r="A122" t="s">
        <v>162</v>
      </c>
    </row>
    <row r="123" spans="1:1">
      <c r="A123" t="s">
        <v>163</v>
      </c>
    </row>
    <row r="124" spans="1:1">
      <c r="A124" t="s">
        <v>164</v>
      </c>
    </row>
    <row r="125" spans="1:1">
      <c r="A125" t="s">
        <v>165</v>
      </c>
    </row>
    <row r="126" spans="1:1">
      <c r="A126" t="s">
        <v>166</v>
      </c>
    </row>
    <row r="127" spans="1:1">
      <c r="A127" t="s">
        <v>167</v>
      </c>
    </row>
    <row r="128" spans="1:1">
      <c r="A128" t="s">
        <v>168</v>
      </c>
    </row>
    <row r="129" spans="1:1">
      <c r="A129" t="s">
        <v>169</v>
      </c>
    </row>
    <row r="130" spans="1:1">
      <c r="A130" t="s">
        <v>170</v>
      </c>
    </row>
    <row r="131" spans="1:1">
      <c r="A131" t="s">
        <v>171</v>
      </c>
    </row>
    <row r="132" spans="1:1">
      <c r="A132" t="s">
        <v>172</v>
      </c>
    </row>
    <row r="133" spans="1:1">
      <c r="A133" t="s">
        <v>173</v>
      </c>
    </row>
    <row r="134" spans="1:1">
      <c r="A134" t="s">
        <v>174</v>
      </c>
    </row>
    <row r="135" spans="1:1">
      <c r="A135" t="s">
        <v>175</v>
      </c>
    </row>
    <row r="136" spans="1:1">
      <c r="A136" t="s">
        <v>176</v>
      </c>
    </row>
    <row r="137" spans="1:1">
      <c r="A137" t="s">
        <v>177</v>
      </c>
    </row>
    <row r="138" spans="1:1">
      <c r="A138" t="s">
        <v>178</v>
      </c>
    </row>
    <row r="139" spans="1:1">
      <c r="A139" t="s">
        <v>179</v>
      </c>
    </row>
    <row r="140" spans="1:1">
      <c r="A140" t="s">
        <v>180</v>
      </c>
    </row>
    <row r="141" spans="1:1">
      <c r="A141" t="s">
        <v>181</v>
      </c>
    </row>
    <row r="142" spans="1:1">
      <c r="A142" t="s">
        <v>182</v>
      </c>
    </row>
    <row r="143" spans="1:1">
      <c r="A143" t="s">
        <v>183</v>
      </c>
    </row>
    <row r="144" spans="1:1">
      <c r="A144" t="s">
        <v>184</v>
      </c>
    </row>
    <row r="145" spans="1:1">
      <c r="A145" t="s">
        <v>185</v>
      </c>
    </row>
    <row r="146" spans="1:1">
      <c r="A146" t="s">
        <v>186</v>
      </c>
    </row>
    <row r="147" spans="1:1">
      <c r="A147" t="s">
        <v>187</v>
      </c>
    </row>
    <row r="148" spans="1:1">
      <c r="A148" t="s">
        <v>188</v>
      </c>
    </row>
    <row r="149" spans="1:1">
      <c r="A149" t="s">
        <v>189</v>
      </c>
    </row>
    <row r="150" spans="1:1">
      <c r="A150" t="s">
        <v>190</v>
      </c>
    </row>
    <row r="151" spans="1:1">
      <c r="A151" t="s">
        <v>191</v>
      </c>
    </row>
    <row r="152" spans="1:1">
      <c r="A152" t="s">
        <v>192</v>
      </c>
    </row>
    <row r="153" spans="1:1">
      <c r="A153" t="s">
        <v>193</v>
      </c>
    </row>
    <row r="154" spans="1:1">
      <c r="A154" t="s">
        <v>194</v>
      </c>
    </row>
    <row r="155" spans="1:1">
      <c r="A155" t="s">
        <v>195</v>
      </c>
    </row>
    <row r="156" spans="1:1">
      <c r="A156" t="s">
        <v>196</v>
      </c>
    </row>
    <row r="157" spans="1:1">
      <c r="A157" t="s">
        <v>197</v>
      </c>
    </row>
    <row r="158" spans="1:1">
      <c r="A158" t="s">
        <v>198</v>
      </c>
    </row>
    <row r="159" spans="1:1">
      <c r="A159" t="s">
        <v>199</v>
      </c>
    </row>
    <row r="160" spans="1:1">
      <c r="A160" t="s">
        <v>200</v>
      </c>
    </row>
    <row r="161" spans="1:1">
      <c r="A161" t="s">
        <v>201</v>
      </c>
    </row>
    <row r="162" spans="1:1">
      <c r="A162" t="s">
        <v>202</v>
      </c>
    </row>
    <row r="163" spans="1:1">
      <c r="A163" t="s">
        <v>203</v>
      </c>
    </row>
    <row r="164" spans="1:1">
      <c r="A164" t="s">
        <v>204</v>
      </c>
    </row>
    <row r="165" spans="1:1">
      <c r="A165" t="s">
        <v>205</v>
      </c>
    </row>
    <row r="166" spans="1:1">
      <c r="A166" t="s">
        <v>206</v>
      </c>
    </row>
    <row r="167" spans="1:1">
      <c r="A167" t="s">
        <v>207</v>
      </c>
    </row>
    <row r="168" spans="1:1">
      <c r="A168" t="s">
        <v>208</v>
      </c>
    </row>
    <row r="169" spans="1:1">
      <c r="A169" t="s">
        <v>209</v>
      </c>
    </row>
    <row r="170" spans="1:1">
      <c r="A170" t="s">
        <v>210</v>
      </c>
    </row>
    <row r="171" spans="1:1">
      <c r="A171" t="s">
        <v>211</v>
      </c>
    </row>
    <row r="172" spans="1:1">
      <c r="A172" t="s">
        <v>212</v>
      </c>
    </row>
    <row r="173" spans="1:1">
      <c r="A173" t="s">
        <v>213</v>
      </c>
    </row>
    <row r="174" spans="1:1">
      <c r="A174" t="s">
        <v>214</v>
      </c>
    </row>
    <row r="175" spans="1:1">
      <c r="A175" t="s">
        <v>215</v>
      </c>
    </row>
    <row r="176" spans="1:1">
      <c r="A176" t="s">
        <v>216</v>
      </c>
    </row>
    <row r="177" spans="1:1">
      <c r="A177" t="s">
        <v>217</v>
      </c>
    </row>
    <row r="178" spans="1:1">
      <c r="A178" t="s">
        <v>218</v>
      </c>
    </row>
    <row r="179" spans="1:1">
      <c r="A179" t="s">
        <v>219</v>
      </c>
    </row>
    <row r="180" spans="1:1">
      <c r="A180" t="s">
        <v>220</v>
      </c>
    </row>
    <row r="181" spans="1:1">
      <c r="A181" t="s">
        <v>221</v>
      </c>
    </row>
    <row r="182" spans="1:1">
      <c r="A182" t="s">
        <v>222</v>
      </c>
    </row>
    <row r="183" spans="1:1">
      <c r="A183" t="s">
        <v>223</v>
      </c>
    </row>
    <row r="184" spans="1:1">
      <c r="A184" t="s">
        <v>224</v>
      </c>
    </row>
    <row r="185" spans="1:1">
      <c r="A185" t="s">
        <v>225</v>
      </c>
    </row>
    <row r="186" spans="1:1">
      <c r="A186" t="s">
        <v>226</v>
      </c>
    </row>
    <row r="187" spans="1:1">
      <c r="A187" t="s">
        <v>227</v>
      </c>
    </row>
    <row r="188" spans="1:1">
      <c r="A188" t="s">
        <v>228</v>
      </c>
    </row>
    <row r="189" spans="1:1">
      <c r="A189" t="s">
        <v>229</v>
      </c>
    </row>
    <row r="190" spans="1:1">
      <c r="A190" t="s">
        <v>230</v>
      </c>
    </row>
    <row r="191" spans="1:1">
      <c r="A191" t="s">
        <v>231</v>
      </c>
    </row>
    <row r="192" spans="1:1">
      <c r="A192" t="s">
        <v>232</v>
      </c>
    </row>
    <row r="193" spans="1:1">
      <c r="A193" t="s">
        <v>233</v>
      </c>
    </row>
    <row r="194" spans="1:1">
      <c r="A194" t="s">
        <v>234</v>
      </c>
    </row>
    <row r="195" spans="1:1">
      <c r="A195" t="s">
        <v>235</v>
      </c>
    </row>
    <row r="196" spans="1:1">
      <c r="A196" t="s">
        <v>236</v>
      </c>
    </row>
    <row r="197" spans="1:1">
      <c r="A197" t="s">
        <v>237</v>
      </c>
    </row>
    <row r="198" spans="1:1">
      <c r="A198" t="s">
        <v>238</v>
      </c>
    </row>
    <row r="199" spans="1:1">
      <c r="A199" t="s">
        <v>239</v>
      </c>
    </row>
    <row r="200" spans="1:1">
      <c r="A200" t="s">
        <v>240</v>
      </c>
    </row>
    <row r="201" spans="1:1">
      <c r="A201" t="s">
        <v>241</v>
      </c>
    </row>
    <row r="202" spans="1:1">
      <c r="A202" t="s">
        <v>242</v>
      </c>
    </row>
    <row r="203" spans="1:1">
      <c r="A203" t="s">
        <v>243</v>
      </c>
    </row>
    <row r="204" spans="1:1">
      <c r="A204" t="s">
        <v>244</v>
      </c>
    </row>
    <row r="205" spans="1:1">
      <c r="A205" t="s">
        <v>245</v>
      </c>
    </row>
    <row r="206" spans="1:1">
      <c r="A206" t="s">
        <v>246</v>
      </c>
    </row>
    <row r="207" spans="1:1">
      <c r="A207" t="s">
        <v>247</v>
      </c>
    </row>
    <row r="208" spans="1:1">
      <c r="A208" t="s">
        <v>248</v>
      </c>
    </row>
    <row r="209" spans="1:1">
      <c r="A209" t="s">
        <v>249</v>
      </c>
    </row>
    <row r="210" spans="1:1">
      <c r="A210" t="s">
        <v>250</v>
      </c>
    </row>
    <row r="211" spans="1:1">
      <c r="A211" t="s">
        <v>251</v>
      </c>
    </row>
    <row r="212" spans="1:1">
      <c r="A212" t="s">
        <v>252</v>
      </c>
    </row>
    <row r="213" spans="1:1">
      <c r="A213" t="s">
        <v>253</v>
      </c>
    </row>
    <row r="214" spans="1:1">
      <c r="A214" t="s">
        <v>254</v>
      </c>
    </row>
    <row r="215" spans="1:1">
      <c r="A215" t="s">
        <v>255</v>
      </c>
    </row>
    <row r="216" spans="1:1">
      <c r="A216" t="s">
        <v>256</v>
      </c>
    </row>
    <row r="217" spans="1:1">
      <c r="A217" t="s">
        <v>257</v>
      </c>
    </row>
    <row r="218" spans="1:1">
      <c r="A218" t="s">
        <v>258</v>
      </c>
    </row>
    <row r="219" spans="1:1">
      <c r="A219" t="s">
        <v>259</v>
      </c>
    </row>
    <row r="220" spans="1:1">
      <c r="A220" t="s">
        <v>260</v>
      </c>
    </row>
    <row r="221" spans="1:1">
      <c r="A221" t="s">
        <v>261</v>
      </c>
    </row>
    <row r="222" spans="1:1">
      <c r="A222" t="s">
        <v>262</v>
      </c>
    </row>
    <row r="223" spans="1:1">
      <c r="A223" t="s">
        <v>263</v>
      </c>
    </row>
    <row r="224" spans="1:1">
      <c r="A224" t="s">
        <v>264</v>
      </c>
    </row>
    <row r="225" spans="1:1">
      <c r="A225" t="s">
        <v>265</v>
      </c>
    </row>
    <row r="226" spans="1:1">
      <c r="A226" t="s">
        <v>266</v>
      </c>
    </row>
    <row r="227" spans="1:1">
      <c r="A227" t="s">
        <v>267</v>
      </c>
    </row>
    <row r="228" spans="1:1">
      <c r="A228" t="s">
        <v>268</v>
      </c>
    </row>
    <row r="229" spans="1:1">
      <c r="A229" t="s">
        <v>269</v>
      </c>
    </row>
    <row r="230" spans="1:1">
      <c r="A230" t="s">
        <v>270</v>
      </c>
    </row>
    <row r="231" spans="1:1">
      <c r="A231" t="s">
        <v>271</v>
      </c>
    </row>
    <row r="232" spans="1:1">
      <c r="A232" t="s">
        <v>272</v>
      </c>
    </row>
    <row r="233" spans="1:1">
      <c r="A233" t="s">
        <v>273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B17"/>
  <sheetViews>
    <sheetView zoomScale="75" workbookViewId="0">
      <selection activeCell="D10" sqref="D10"/>
    </sheetView>
  </sheetViews>
  <sheetFormatPr defaultRowHeight="16.5"/>
  <cols>
    <col min="2" max="2" width="15.6640625" customWidth="1"/>
  </cols>
  <sheetData>
    <row r="1" spans="2:2" ht="17.25" thickBot="1"/>
    <row r="2" spans="2:2" ht="17.25" thickBot="1">
      <c r="B2" s="30" t="s">
        <v>19</v>
      </c>
    </row>
    <row r="3" spans="2:2">
      <c r="B3" s="28" t="s">
        <v>18</v>
      </c>
    </row>
    <row r="4" spans="2:2" ht="17.25" thickBot="1">
      <c r="B4" s="29" t="s">
        <v>20</v>
      </c>
    </row>
    <row r="6" spans="2:2" ht="17.25" thickBot="1"/>
    <row r="7" spans="2:2" ht="17.25" thickBot="1">
      <c r="B7" s="30" t="s">
        <v>11</v>
      </c>
    </row>
    <row r="8" spans="2:2">
      <c r="B8" s="28" t="s">
        <v>12</v>
      </c>
    </row>
    <row r="9" spans="2:2">
      <c r="B9" s="28" t="s">
        <v>13</v>
      </c>
    </row>
    <row r="10" spans="2:2">
      <c r="B10" s="28" t="s">
        <v>14</v>
      </c>
    </row>
    <row r="11" spans="2:2">
      <c r="B11" s="28" t="s">
        <v>30</v>
      </c>
    </row>
    <row r="12" spans="2:2" ht="17.25" thickBot="1">
      <c r="B12" s="29" t="s">
        <v>31</v>
      </c>
    </row>
    <row r="13" spans="2:2" ht="17.25" thickBot="1"/>
    <row r="14" spans="2:2" ht="17.25" thickBot="1">
      <c r="B14" s="30" t="s">
        <v>16</v>
      </c>
    </row>
    <row r="15" spans="2:2">
      <c r="B15" s="28" t="s">
        <v>15</v>
      </c>
    </row>
    <row r="16" spans="2:2">
      <c r="B16" s="28" t="s">
        <v>32</v>
      </c>
    </row>
    <row r="17" spans="2:2" ht="17.25" thickBot="1">
      <c r="B17" s="29" t="s">
        <v>2</v>
      </c>
    </row>
  </sheetData>
  <phoneticPr fontId="0" type="noConversion"/>
  <pageMargins left="0.75" right="0.75" top="1" bottom="1" header="0.5" footer="0.5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JE Form</vt:lpstr>
      <vt:lpstr>Copy of Text Uploaded to JDE</vt:lpstr>
      <vt:lpstr>Source</vt:lpstr>
      <vt:lpstr>Company</vt:lpstr>
      <vt:lpstr>Currency</vt:lpstr>
      <vt:lpstr>DocType</vt:lpstr>
    </vt:vector>
  </TitlesOfParts>
  <Company>GNB Technologies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 Margetis</dc:creator>
  <cp:lastModifiedBy>Julie</cp:lastModifiedBy>
  <cp:lastPrinted>2010-03-23T18:52:07Z</cp:lastPrinted>
  <dcterms:created xsi:type="dcterms:W3CDTF">2000-12-01T22:45:04Z</dcterms:created>
  <dcterms:modified xsi:type="dcterms:W3CDTF">2026-02-17T19:24:33Z</dcterms:modified>
</cp:coreProperties>
</file>